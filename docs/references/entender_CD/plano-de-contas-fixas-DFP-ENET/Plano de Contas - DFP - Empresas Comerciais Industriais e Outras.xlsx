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8940" windowHeight="9555"/>
  </bookViews>
  <sheets>
    <sheet name="DF Ind. - Ativo" sheetId="18" r:id="rId1"/>
    <sheet name="DF Ind. - Passivo" sheetId="17" r:id="rId2"/>
    <sheet name="DF Ind. - Resultado Período" sheetId="16" r:id="rId3"/>
    <sheet name="DF Ind. - Resultado Abrangente" sheetId="15" r:id="rId4"/>
    <sheet name="DF Ind. - Fluxo de Caixa" sheetId="14" r:id="rId5"/>
    <sheet name="DF Ind. - DMPL - 31122016" sheetId="13" r:id="rId6"/>
    <sheet name="DF Ind. - Valor Adicionado" sheetId="10" r:id="rId7"/>
    <sheet name="DF Cons. - Ativo" sheetId="9" r:id="rId8"/>
    <sheet name="DF Cons. - Passivo" sheetId="8" r:id="rId9"/>
    <sheet name="DF Cons. - Resultado Período" sheetId="7" r:id="rId10"/>
    <sheet name="DF Cons. - Resultado Abrangente" sheetId="6" r:id="rId11"/>
    <sheet name="DF Cons. - Fluxo de Caixa" sheetId="5" r:id="rId12"/>
    <sheet name="DF Cons. - DMPL - 31122016" sheetId="4" r:id="rId13"/>
    <sheet name="DF Cons. - Valor Adicionado" sheetId="1" r:id="rId14"/>
  </sheets>
  <calcPr calcId="171027"/>
</workbook>
</file>

<file path=xl/calcChain.xml><?xml version="1.0" encoding="utf-8"?>
<calcChain xmlns="http://schemas.openxmlformats.org/spreadsheetml/2006/main">
  <c r="A42" i="1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8" i="4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12" i="5"/>
  <c r="A11"/>
  <c r="A10"/>
  <c r="A9"/>
  <c r="A8"/>
  <c r="A7"/>
  <c r="A6"/>
  <c r="A5"/>
  <c r="A4"/>
  <c r="A3"/>
  <c r="A7" i="6"/>
  <c r="A6"/>
  <c r="A5"/>
  <c r="A4"/>
  <c r="A3"/>
  <c r="A30" i="7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102" i="8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58" i="9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41" i="10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28" i="13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12" i="14"/>
  <c r="A11"/>
  <c r="A10"/>
  <c r="A9"/>
  <c r="A8"/>
  <c r="A7"/>
  <c r="A6"/>
  <c r="A5"/>
  <c r="A4"/>
  <c r="A3"/>
  <c r="A5" i="15"/>
  <c r="A4"/>
  <c r="A3"/>
  <c r="A28" i="16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103" i="17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A65"/>
  <c r="A64"/>
  <c r="A63"/>
  <c r="A62"/>
  <c r="A61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  <c r="A61" i="18"/>
  <c r="A60"/>
  <c r="A59"/>
  <c r="A58"/>
  <c r="A57"/>
  <c r="A56"/>
  <c r="A55"/>
  <c r="A54"/>
  <c r="A53"/>
  <c r="A52"/>
  <c r="A51"/>
  <c r="A50"/>
  <c r="A49"/>
  <c r="A48"/>
  <c r="A47"/>
  <c r="A46"/>
  <c r="A45"/>
  <c r="A44"/>
  <c r="A43"/>
  <c r="A42"/>
  <c r="A41"/>
  <c r="A40"/>
  <c r="A39"/>
  <c r="A38"/>
  <c r="A37"/>
  <c r="A36"/>
  <c r="A35"/>
  <c r="A34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A3"/>
</calcChain>
</file>

<file path=xl/sharedStrings.xml><?xml version="1.0" encoding="utf-8"?>
<sst xmlns="http://schemas.openxmlformats.org/spreadsheetml/2006/main" count="621" uniqueCount="228">
  <si>
    <t>(Reais)</t>
  </si>
  <si>
    <t>Código da Conta</t>
  </si>
  <si>
    <t>Descrição da Conta</t>
  </si>
  <si>
    <t>Último Exercício 31/12/2016</t>
  </si>
  <si>
    <t>Penúltimo Exercício 31/12/2015</t>
  </si>
  <si>
    <t>Antepenúltimo Exercício 31/12/2014</t>
  </si>
  <si>
    <t>Ativo Total</t>
  </si>
  <si>
    <t>Ativo Circulante</t>
  </si>
  <si>
    <t>Caixa e Equivalentes de Caixa</t>
  </si>
  <si>
    <t>Aplicações Financeiras</t>
  </si>
  <si>
    <t>Aplicações Financeiras Avaliadas a Valor Justo</t>
  </si>
  <si>
    <t>Títulos para Negociação</t>
  </si>
  <si>
    <t>Títulos Disponíveis para Venda</t>
  </si>
  <si>
    <t>Aplicações Financeiras Avaliadas ao Custo Amortizado</t>
  </si>
  <si>
    <t>Títulos Mantidos até o Vencimento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</si>
  <si>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</si>
  <si>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</si>
  <si>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</si>
  <si>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</si>
  <si>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</si>
  <si>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</si>
  <si>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</si>
  <si>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</si>
  <si>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</si>
  <si>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</si>
  <si>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</si>
  <si>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</si>
  <si>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Ativo Não Circulante</t>
  </si>
  <si>
    <t>Ativo Realizável a Longo Prazo</t>
  </si>
  <si>
    <t>Tributos Diferidos</t>
  </si>
  <si>
    <t>Imposto de Renda e Contribuição Social Diferidos</t>
  </si>
  <si>
    <t>Créditos com Partes Relacionadas</t>
  </si>
  <si>
    <t>Créditos com Coligadas</t>
  </si>
  <si>
    <t>Créditos com Controladas</t>
  </si>
  <si>
    <t>Créditos com Controladores</t>
  </si>
  <si>
    <t>Créditos com Outras Partes Relacionadas</t>
  </si>
  <si>
    <t>Outros Ativos Não Circulantes</t>
  </si>
  <si>
    <t>Investimentos</t>
  </si>
  <si>
    <t>Participações Societárias</t>
  </si>
  <si>
    <t>Participações em Coligadas</t>
  </si>
  <si>
    <t>Participações em Controladas</t>
  </si>
  <si>
    <t>Participações em Controladas em Conjunto</t>
  </si>
  <si>
    <t>Outras Participações Societárias</t>
  </si>
  <si>
    <t>Propriedades para Investimento</t>
  </si>
  <si>
    <t>Imobilizado</t>
  </si>
  <si>
    <t>Imobilizado em Operação</t>
  </si>
  <si>
    <t>Imobilizado Arrendado</t>
  </si>
  <si>
    <t>Imobilizado em Andamento</t>
  </si>
  <si>
    <t>Intangível</t>
  </si>
  <si>
    <t>Intangíveis</t>
  </si>
  <si>
    <t>Contrato de Concessão</t>
  </si>
  <si>
    <t>Diferido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</si>
  <si>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</si>
  <si>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</si>
  <si>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</si>
  <si>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</si>
  <si>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</si>
  <si>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</si>
  <si>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</si>
  <si>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</si>
  <si>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</si>
  <si>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</si>
  <si>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</si>
  <si>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</si>
  <si>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</si>
  <si>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</si>
  <si>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</si>
  <si>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</si>
  <si>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</si>
  <si>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 Financeiro</t>
  </si>
  <si>
    <t>Outras Obrigações</t>
  </si>
  <si>
    <t>Passivos com Partes Relacionadas</t>
  </si>
  <si>
    <t>Débitos com Coligadas</t>
  </si>
  <si>
    <t>Débitos com Controladas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</si>
  <si>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</si>
  <si>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</si>
  <si>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</si>
  <si>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</si>
  <si>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</si>
  <si>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</si>
  <si>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</si>
  <si>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</si>
  <si>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</si>
  <si>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</si>
  <si>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</si>
  <si>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</si>
  <si>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</si>
  <si>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</si>
  <si>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</si>
  <si>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Passivos sobre Ativos Não-Correntes a Venda e Descontinuados</t>
  </si>
  <si>
    <t>Passivos sobre Ativos Não-Correntes a Venda</t>
  </si>
  <si>
    <t>Passivos sobre Ativos de Operações Descontinuadas</t>
  </si>
  <si>
    <t>Passivo Não Circulante</t>
  </si>
  <si>
    <t>Adiantamento para Futuro Aumento de Capital</t>
  </si>
  <si>
    <t>Lucros e Receitas a Apropriar</t>
  </si>
  <si>
    <t>Lucros a Apropriar</t>
  </si>
  <si>
    <t>Receitas a Apropriar</t>
  </si>
  <si>
    <t>Subvenções de Investimento a Apropriar</t>
  </si>
  <si>
    <t>Patrimônio Líquido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</si>
  <si>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</si>
  <si>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</si>
  <si>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</si>
  <si>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</si>
  <si>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</si>
  <si>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</si>
  <si>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</si>
  <si>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</si>
  <si>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</si>
  <si>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</si>
  <si>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</si>
  <si>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</si>
  <si>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</si>
  <si>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</si>
  <si>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</si>
  <si>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</si>
  <si>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</si>
  <si>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</si>
  <si>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</si>
  <si>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</si>
  <si>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</si>
  <si>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Último Exercício 01/01/2016 à 31/12/2016</t>
  </si>
  <si>
    <t>Penúltimo Exercício 01/01/2015 à 31/12/2015</t>
  </si>
  <si>
    <t>Antepenúltimo Exercício 01/01/2014 à 31/12/2014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</si>
  <si>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</si>
  <si>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</si>
  <si>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</si>
  <si>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</si>
  <si>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</si>
  <si>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</si>
  <si>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</si>
  <si>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</si>
  <si>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</si>
  <si>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</si>
  <si>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</si>
  <si>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</si>
  <si>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</si>
  <si>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</si>
  <si>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Antes dos Tributos sobre o Lucro</t>
  </si>
  <si>
    <t>Imposto de Renda e Contribuição Social sobre o Lucro</t>
  </si>
  <si>
    <t>Corrente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</si>
  <si>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</si>
  <si>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</si>
  <si>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</si>
  <si>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</si>
  <si>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do Período</t>
  </si>
  <si>
    <t>Lucro por Ação - (Reais / Ação)</t>
  </si>
  <si>
    <t>Lucro Básico por Ação</t>
  </si>
  <si>
    <t>Lucro Diluído por Ação</t>
  </si>
  <si>
    <t>Lucro Líquido do Período</t>
  </si>
  <si>
    <t>Resultado Abrangente do Período</t>
  </si>
  <si>
    <t>Caixa Líquido Atividades Operacionais</t>
  </si>
  <si>
    <t>Caixa Gerado nas Operações</t>
  </si>
  <si>
    <t>Variações nos Ativos e Passivos</t>
  </si>
  <si>
    <t>Caixa Líquido Atividades de Investimento</t>
  </si>
  <si>
    <t>Caixa Líquido Atividades de Financiamento</t>
  </si>
  <si>
    <t>Variação Cambial s/ Caixa e Equivalentes</t>
  </si>
  <si>
    <t>Aumento (Redução) de Caixa e Equivalentes</t>
  </si>
  <si>
    <t>Saldo Inicial de Caixa e Equivalentes</t>
  </si>
  <si>
    <t>Saldo Final de Caixa e Equivalentes</t>
  </si>
  <si>
    <t>Capital Social Integralizado</t>
  </si>
  <si>
    <t>Reservas de Capital, Opções Outorgadas e Ações em Tesouraria</t>
  </si>
  <si>
    <t>Reservas de Lucro</t>
  </si>
  <si>
    <t>Lucros ou Prejuízos Acumulados</t>
  </si>
  <si>
    <t>Saldos Iniciais</t>
  </si>
  <si>
    <t>Ajustes de Exercícios Anteriores</t>
  </si>
  <si>
    <t>Saldos Iniciais Ajustados</t>
  </si>
  <si>
    <t>Transações de Capital com os Sócios</t>
  </si>
  <si>
    <t>Aumentos de Capital</t>
  </si>
  <si>
    <t>Gastos com Emissão de Ações</t>
  </si>
  <si>
    <t>Opções Outorgadas Reconhecidas</t>
  </si>
  <si>
    <t>Ações em Tesouraria Adquiridas</t>
  </si>
  <si>
    <t>Ações em Tesouraria Vendidas</t>
  </si>
  <si>
    <t>Dividendos</t>
  </si>
  <si>
    <t>Juros sobre Capital Próprio</t>
  </si>
  <si>
    <t>Resultado Abrangente Total</t>
  </si>
  <si>
    <t>Ajustes de Instrumentos Financeiros</t>
  </si>
  <si>
    <t>Tributos s/ Ajustes Instrumentos Financeiros</t>
  </si>
  <si>
    <t>Equiv. Patrim. s/Result. Abrang. Controladas e Coligadas</t>
  </si>
  <si>
    <t>Ajustes de Conversão do Período</t>
  </si>
  <si>
    <t>Tributos s/ Ajustes de Conversão do Período</t>
  </si>
  <si>
    <t>Reclassificações para o Resultado</t>
  </si>
  <si>
    <t>Mutações Internas do Patrimônio Líquido</t>
  </si>
  <si>
    <t>Constituição de Reservas</t>
  </si>
  <si>
    <t>Realização da Reserva Reavaliação</t>
  </si>
  <si>
    <t>Tributos sobre a Realização da Reserva de Reavaliação</t>
  </si>
  <si>
    <t>Saldos Finais</t>
  </si>
  <si>
    <t>Receitas</t>
  </si>
  <si>
    <t>Vendas de Mercadorias, Produtos e Serviços</t>
  </si>
  <si>
    <t>Outras Receitas</t>
  </si>
  <si>
    <t>Receitas refs. à Construção de Ativos Próprios</t>
  </si>
  <si>
    <t>Provisão/Reversão de Créds. Liquidação Duvidosa</t>
  </si>
  <si>
    <t>Insumos Adquiridos de Terceiros</t>
  </si>
  <si>
    <t>Custos Prods., Mercs. e Servs. Vendidos</t>
  </si>
  <si>
    <t>Materiais, Energia, Servs. de Terceiros e Outros</t>
  </si>
  <si>
    <t>Perda/Recuperação de Valores Ativos</t>
  </si>
  <si>
    <t>Valor Adicionado Bruto</t>
  </si>
  <si>
    <t>Retenções</t>
  </si>
  <si>
    <t>Depreciação, Amortização e Exaustão</t>
  </si>
  <si>
    <t>Outras</t>
  </si>
  <si>
    <t>Valor Adicionado Líquido Produzido</t>
  </si>
  <si>
    <t>Vlr Adicionado Recebido em Transferência</t>
  </si>
  <si>
    <t>Valor Adicionado Total a Distribuir</t>
  </si>
  <si>
    <t>Distribuição do Valor Adicionado</t>
  </si>
  <si>
    <t>Pessoal</t>
  </si>
  <si>
    <t>Remuneração Direta</t>
  </si>
  <si>
    <t>Benefícios</t>
  </si>
  <si>
    <t>F.G.T.S.</t>
  </si>
  <si>
    <t>Impostos, Taxas e Contribuições</t>
  </si>
  <si>
    <t>Federais</t>
  </si>
  <si>
    <t>Estaduais</t>
  </si>
  <si>
    <t>Municipais</t>
  </si>
  <si>
    <t>Remuneração de Capitais de Terceiros</t>
  </si>
  <si>
    <t>Juros</t>
  </si>
  <si>
    <t>Aluguéis</t>
  </si>
  <si>
    <t>Remuneração de Capitais Próprios</t>
  </si>
  <si>
    <t>Juros sobre o Capital Próprio</t>
  </si>
  <si>
    <t>Lucros Retidos / Prejuízo do Período</t>
  </si>
  <si>
    <t>Goodwill</t>
  </si>
  <si>
    <t>Patrimônio Líquido Consolidado</t>
  </si>
  <si>
    <t>Participação dos Acionistas Não Controladores</t>
  </si>
  <si>
    <t>Lucro/Prejuízo Consolidado do Período</t>
  </si>
  <si>
    <t>Atribuído a Sócios da Empresa Controladora</t>
  </si>
  <si>
    <t>Atribuído a Sócios Não Controladores</t>
  </si>
  <si>
    <t>Lucro Líquido Consolidado do Período</t>
  </si>
  <si>
    <t>Resultado Abrangente Consolidado do Período</t>
  </si>
  <si>
    <t>Participação dos Não Controladores</t>
  </si>
  <si>
    <t>Equiv. Patrim. s/Result. Abrang. Coligadas</t>
  </si>
  <si>
    <t>Part. Não Controladores nos Lucros Retidos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</si>
</sst>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cols>
    <col min="1" max="1" width="15.42578125" bestFit="1" customWidth="1"/>
    <col min="2" max="2" width="49.7109375" bestFit="1" customWidth="1"/>
    <col min="3" max="3" width="25.85546875" bestFit="1" customWidth="1"/>
    <col min="4" max="4" width="29.140625" bestFit="1" customWidth="1"/>
    <col min="5" max="5" width="33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tr">
        <f xml:space="preserve"> "1"</f>
        <v>1</v>
      </c>
      <c r="B3" t="s">
        <v>6</v>
      </c>
      <c r="C3">
        <v>1</v>
      </c>
      <c r="D3">
        <v>0</v>
      </c>
      <c r="E3">
        <v>0</v>
      </c>
    </row>
    <row r="4" spans="1:5">
      <c r="A4" t="str">
        <f xml:space="preserve"> "1.01"</f>
        <v>1.01</v>
      </c>
      <c r="B4" t="s">
        <v>7</v>
      </c>
      <c r="C4">
        <v>0</v>
      </c>
      <c r="D4">
        <v>0</v>
      </c>
      <c r="E4">
        <v>0</v>
      </c>
    </row>
    <row r="5" spans="1:5">
      <c r="A5" t="str">
        <f xml:space="preserve"> "1.01.01"</f>
        <v>1.01.01</v>
      </c>
      <c r="B5" t="s">
        <v>8</v>
      </c>
      <c r="C5">
        <v>0</v>
      </c>
      <c r="D5">
        <v>0</v>
      </c>
      <c r="E5">
        <v>0</v>
      </c>
    </row>
    <row r="6" spans="1:5">
      <c r="A6" t="str">
        <f xml:space="preserve"> "1.01.02"</f>
        <v>1.01.02</v>
      </c>
      <c r="B6" t="s">
        <v>9</v>
      </c>
      <c r="C6">
        <v>0</v>
      </c>
      <c r="D6">
        <v>0</v>
      </c>
      <c r="E6">
        <v>0</v>
      </c>
    </row>
    <row r="7" spans="1:5">
      <c r="A7" t="str">
        <f xml:space="preserve"> "1.01.02.01"</f>
        <v>1.01.02.01</v>
      </c>
      <c r="B7" t="s">
        <v>10</v>
      </c>
      <c r="C7">
        <v>0</v>
      </c>
      <c r="D7">
        <v>0</v>
      </c>
      <c r="E7">
        <v>0</v>
      </c>
    </row>
    <row r="8" spans="1:5">
      <c r="A8" t="str">
        <f xml:space="preserve"> "1.01.02.01.01"</f>
        <v>1.01.02.01.01</v>
      </c>
      <c r="B8" t="s">
        <v>11</v>
      </c>
      <c r="C8">
        <v>0</v>
      </c>
      <c r="D8">
        <v>0</v>
      </c>
      <c r="E8">
        <v>0</v>
      </c>
    </row>
    <row r="9" spans="1:5">
      <c r="A9" t="str">
        <f xml:space="preserve"> "1.01.02.01.02"</f>
        <v>1.01.02.01.02</v>
      </c>
      <c r="B9" t="s">
        <v>12</v>
      </c>
      <c r="C9">
        <v>0</v>
      </c>
      <c r="D9">
        <v>0</v>
      </c>
      <c r="E9">
        <v>0</v>
      </c>
    </row>
    <row r="10" spans="1:5">
      <c r="A10" t="str">
        <f xml:space="preserve"> "1.01.02.02"</f>
        <v>1.01.02.02</v>
      </c>
      <c r="B10" t="s">
        <v>13</v>
      </c>
      <c r="C10">
        <v>0</v>
      </c>
      <c r="D10">
        <v>0</v>
      </c>
      <c r="E10">
        <v>0</v>
      </c>
    </row>
    <row r="11" spans="1:5">
      <c r="A11" t="str">
        <f xml:space="preserve"> "1.01.02.02.01"</f>
        <v>1.01.02.02.01</v>
      </c>
      <c r="B11" t="s">
        <v>14</v>
      </c>
      <c r="C11">
        <v>0</v>
      </c>
      <c r="D11">
        <v>0</v>
      </c>
      <c r="E11">
        <v>0</v>
      </c>
    </row>
    <row r="12" spans="1:5">
      <c r="A12" t="str">
        <f xml:space="preserve"> "1.01.03"</f>
        <v>1.01.03</v>
      </c>
      <c r="B12" t="s">
        <v>15</v>
      </c>
      <c r="C12">
        <v>0</v>
      </c>
      <c r="D12">
        <v>0</v>
      </c>
      <c r="E12">
        <v>0</v>
      </c>
    </row>
    <row r="13" spans="1:5">
      <c r="A13" t="str">
        <f xml:space="preserve"> "1.01.03.01"</f>
        <v>1.01.03.01</v>
      </c>
      <c r="B13" t="s">
        <v>16</v>
      </c>
      <c r="C13">
        <v>0</v>
      </c>
      <c r="D13">
        <v>0</v>
      </c>
      <c r="E13">
        <v>0</v>
      </c>
    </row>
    <row r="14" spans="1:5">
      <c r="A14" t="str">
        <f xml:space="preserve"> "1.01.03.02"</f>
        <v>1.01.03.02</v>
      </c>
      <c r="B14" t="s">
        <v>17</v>
      </c>
      <c r="C14">
        <v>0</v>
      </c>
      <c r="D14">
        <v>0</v>
      </c>
      <c r="E14">
        <v>0</v>
      </c>
    </row>
    <row r="15" spans="1:5">
      <c r="A15" t="str">
        <f xml:space="preserve"> "1.01.04"</f>
        <v>1.01.04</v>
      </c>
      <c r="B15" t="s">
        <v>18</v>
      </c>
      <c r="C15">
        <v>0</v>
      </c>
      <c r="D15">
        <v>0</v>
      </c>
      <c r="E15">
        <v>0</v>
      </c>
    </row>
    <row r="16" spans="1:5">
      <c r="A16" t="str">
        <f xml:space="preserve"> "1.01.05"</f>
        <v>1.01.05</v>
      </c>
      <c r="B16" t="s">
        <v>19</v>
      </c>
      <c r="C16">
        <v>0</v>
      </c>
      <c r="D16">
        <v>0</v>
      </c>
      <c r="E16">
        <v>0</v>
      </c>
    </row>
    <row r="17" spans="1:5">
      <c r="A17" t="str">
        <f xml:space="preserve"> "1.01.06"</f>
        <v>1.01.06</v>
      </c>
      <c r="B17" t="s">
        <v>20</v>
      </c>
      <c r="C17">
        <v>0</v>
      </c>
      <c r="D17">
        <v>0</v>
      </c>
      <c r="E17">
        <v>0</v>
      </c>
    </row>
    <row r="18" spans="1:5">
      <c r="A18" t="str">
        <f xml:space="preserve"> "1.01.06.01"</f>
        <v>1.01.06.01</v>
      </c>
      <c r="B18" t="s">
        <v>21</v>
      </c>
      <c r="C18">
        <v>0</v>
      </c>
      <c r="D18">
        <v>0</v>
      </c>
      <c r="E18">
        <v>0</v>
      </c>
    </row>
    <row r="19" spans="1:5">
      <c r="A19" t="str">
        <f xml:space="preserve"> "1.01.07"</f>
        <v>1.01.07</v>
      </c>
      <c r="B19" t="s">
        <v>22</v>
      </c>
      <c r="C19">
        <v>0</v>
      </c>
      <c r="D19">
        <v>0</v>
      </c>
      <c r="E19">
        <v>0</v>
      </c>
    </row>
    <row r="20" spans="1:5">
      <c r="A20" t="str">
        <f xml:space="preserve"> "1.01.08"</f>
        <v>1.01.08</v>
      </c>
      <c r="B20" t="s">
        <v>23</v>
      </c>
      <c r="C20">
        <v>0</v>
      </c>
      <c r="D20">
        <v>0</v>
      </c>
      <c r="E20">
        <v>0</v>
      </c>
    </row>
    <row r="21" spans="1:5">
      <c r="A21" t="str">
        <f xml:space="preserve"> "1.01.08.01"</f>
        <v>1.01.08.01</v>
      </c>
      <c r="B21" t="s">
        <v>24</v>
      </c>
      <c r="C21">
        <v>0</v>
      </c>
      <c r="D21">
        <v>0</v>
      </c>
      <c r="E21">
        <v>0</v>
      </c>
    </row>
    <row r="22" spans="1:5">
      <c r="A22" t="str">
        <f xml:space="preserve"> "1.01.08.02"</f>
        <v>1.01.08.02</v>
      </c>
      <c r="B22" t="s">
        <v>25</v>
      </c>
      <c r="C22">
        <v>0</v>
      </c>
      <c r="D22">
        <v>0</v>
      </c>
      <c r="E22">
        <v>0</v>
      </c>
    </row>
    <row r="23" spans="1:5">
      <c r="A23" t="str">
        <f xml:space="preserve"> "1.01.08.03"</f>
        <v>1.01.08.03</v>
      </c>
      <c r="B23" t="s">
        <v>26</v>
      </c>
      <c r="C23">
        <v>0</v>
      </c>
      <c r="D23">
        <v>0</v>
      </c>
      <c r="E23">
        <v>0</v>
      </c>
    </row>
    <row r="24" spans="1:5">
      <c r="A24" t="str">
        <f xml:space="preserve"> "1.02"</f>
        <v>1.02</v>
      </c>
      <c r="B24" t="s">
        <v>27</v>
      </c>
      <c r="C24">
        <v>0</v>
      </c>
      <c r="D24">
        <v>0</v>
      </c>
      <c r="E24">
        <v>0</v>
      </c>
    </row>
    <row r="25" spans="1:5">
      <c r="A25" t="str">
        <f xml:space="preserve"> "1.02.01"</f>
        <v>1.02.01</v>
      </c>
      <c r="B25" t="s">
        <v>28</v>
      </c>
      <c r="C25">
        <v>0</v>
      </c>
      <c r="D25">
        <v>0</v>
      </c>
      <c r="E25">
        <v>0</v>
      </c>
    </row>
    <row r="26" spans="1:5">
      <c r="A26" t="str">
        <f xml:space="preserve"> "1.02.01.01"</f>
        <v>1.02.01.01</v>
      </c>
      <c r="B26" t="s">
        <v>10</v>
      </c>
      <c r="C26">
        <v>0</v>
      </c>
      <c r="D26">
        <v>0</v>
      </c>
      <c r="E26">
        <v>0</v>
      </c>
    </row>
    <row r="27" spans="1:5">
      <c r="A27" t="str">
        <f xml:space="preserve"> "1.02.01.01.01"</f>
        <v>1.02.01.01.01</v>
      </c>
      <c r="B27" t="s">
        <v>11</v>
      </c>
      <c r="C27">
        <v>0</v>
      </c>
      <c r="D27">
        <v>0</v>
      </c>
      <c r="E27">
        <v>0</v>
      </c>
    </row>
    <row r="28" spans="1:5">
      <c r="A28" t="str">
        <f xml:space="preserve"> "1.02.01.01.02"</f>
        <v>1.02.01.01.02</v>
      </c>
      <c r="B28" t="s">
        <v>12</v>
      </c>
      <c r="C28">
        <v>0</v>
      </c>
      <c r="D28">
        <v>0</v>
      </c>
      <c r="E28">
        <v>0</v>
      </c>
    </row>
    <row r="29" spans="1:5">
      <c r="A29" t="str">
        <f xml:space="preserve"> "1.02.01.02"</f>
        <v>1.02.01.02</v>
      </c>
      <c r="B29" t="s">
        <v>13</v>
      </c>
      <c r="C29">
        <v>0</v>
      </c>
      <c r="D29">
        <v>0</v>
      </c>
      <c r="E29">
        <v>0</v>
      </c>
    </row>
    <row r="30" spans="1:5">
      <c r="A30" t="str">
        <f xml:space="preserve"> "1.02.01.02.01"</f>
        <v>1.02.01.02.01</v>
      </c>
      <c r="B30" t="s">
        <v>14</v>
      </c>
      <c r="C30">
        <v>0</v>
      </c>
      <c r="D30">
        <v>0</v>
      </c>
      <c r="E30">
        <v>0</v>
      </c>
    </row>
    <row r="31" spans="1:5">
      <c r="A31" t="str">
        <f xml:space="preserve"> "1.02.01.03"</f>
        <v>1.02.01.03</v>
      </c>
      <c r="B31" t="s">
        <v>15</v>
      </c>
      <c r="C31">
        <v>0</v>
      </c>
      <c r="D31">
        <v>0</v>
      </c>
      <c r="E31">
        <v>0</v>
      </c>
    </row>
    <row r="32" spans="1:5">
      <c r="A32" t="str">
        <f xml:space="preserve"> "1.02.01.03.01"</f>
        <v>1.02.01.03.01</v>
      </c>
      <c r="B32" t="s">
        <v>16</v>
      </c>
      <c r="C32">
        <v>0</v>
      </c>
      <c r="D32">
        <v>0</v>
      </c>
      <c r="E32">
        <v>0</v>
      </c>
    </row>
    <row r="33" spans="1:5">
      <c r="A33" t="str">
        <f xml:space="preserve"> "1.02.01.03.02"</f>
        <v>1.02.01.03.02</v>
      </c>
      <c r="B33" t="s">
        <v>17</v>
      </c>
      <c r="C33">
        <v>0</v>
      </c>
      <c r="D33">
        <v>0</v>
      </c>
      <c r="E33">
        <v>0</v>
      </c>
    </row>
    <row r="34" spans="1:5">
      <c r="A34" t="str">
        <f xml:space="preserve"> "1.02.01.04"</f>
        <v>1.02.01.04</v>
      </c>
      <c r="B34" t="s">
        <v>18</v>
      </c>
      <c r="C34">
        <v>0</v>
      </c>
      <c r="D34">
        <v>0</v>
      </c>
      <c r="E34">
        <v>0</v>
      </c>
    </row>
    <row r="35" spans="1:5">
      <c r="A35" t="str">
        <f xml:space="preserve"> "1.02.01.05"</f>
        <v>1.02.01.05</v>
      </c>
      <c r="B35" t="s">
        <v>19</v>
      </c>
      <c r="C35">
        <v>0</v>
      </c>
      <c r="D35">
        <v>0</v>
      </c>
      <c r="E35">
        <v>0</v>
      </c>
    </row>
    <row r="36" spans="1:5">
      <c r="A36" t="str">
        <f xml:space="preserve"> "1.02.01.06"</f>
        <v>1.02.01.06</v>
      </c>
      <c r="B36" t="s">
        <v>29</v>
      </c>
      <c r="C36">
        <v>0</v>
      </c>
      <c r="D36">
        <v>0</v>
      </c>
      <c r="E36">
        <v>0</v>
      </c>
    </row>
    <row r="37" spans="1:5">
      <c r="A37" t="str">
        <f xml:space="preserve"> "1.02.01.06.01"</f>
        <v>1.02.01.06.01</v>
      </c>
      <c r="B37" t="s">
        <v>30</v>
      </c>
      <c r="C37">
        <v>0</v>
      </c>
      <c r="D37">
        <v>0</v>
      </c>
      <c r="E37">
        <v>0</v>
      </c>
    </row>
    <row r="38" spans="1:5">
      <c r="A38" t="str">
        <f xml:space="preserve"> "1.02.01.07"</f>
        <v>1.02.01.07</v>
      </c>
      <c r="B38" t="s">
        <v>22</v>
      </c>
      <c r="C38">
        <v>0</v>
      </c>
      <c r="D38">
        <v>0</v>
      </c>
      <c r="E38">
        <v>0</v>
      </c>
    </row>
    <row r="39" spans="1:5">
      <c r="A39" t="str">
        <f xml:space="preserve"> "1.02.01.08"</f>
        <v>1.02.01.08</v>
      </c>
      <c r="B39" t="s">
        <v>31</v>
      </c>
      <c r="C39">
        <v>0</v>
      </c>
      <c r="D39">
        <v>0</v>
      </c>
      <c r="E39">
        <v>0</v>
      </c>
    </row>
    <row r="40" spans="1:5">
      <c r="A40" t="str">
        <f xml:space="preserve"> "1.02.01.08.01"</f>
        <v>1.02.01.08.01</v>
      </c>
      <c r="B40" t="s">
        <v>32</v>
      </c>
      <c r="C40">
        <v>0</v>
      </c>
      <c r="D40">
        <v>0</v>
      </c>
      <c r="E40">
        <v>0</v>
      </c>
    </row>
    <row r="41" spans="1:5">
      <c r="A41" t="str">
        <f xml:space="preserve"> "1.02.01.08.02"</f>
        <v>1.02.01.08.02</v>
      </c>
      <c r="B41" t="s">
        <v>33</v>
      </c>
      <c r="C41">
        <v>0</v>
      </c>
      <c r="D41">
        <v>0</v>
      </c>
      <c r="E41">
        <v>0</v>
      </c>
    </row>
    <row r="42" spans="1:5">
      <c r="A42" t="str">
        <f xml:space="preserve"> "1.02.01.08.03"</f>
        <v>1.02.01.08.03</v>
      </c>
      <c r="B42" t="s">
        <v>34</v>
      </c>
      <c r="C42">
        <v>0</v>
      </c>
      <c r="D42">
        <v>0</v>
      </c>
      <c r="E42">
        <v>0</v>
      </c>
    </row>
    <row r="43" spans="1:5">
      <c r="A43" t="str">
        <f xml:space="preserve"> "1.02.01.08.04"</f>
        <v>1.02.01.08.04</v>
      </c>
      <c r="B43" t="s">
        <v>35</v>
      </c>
      <c r="C43">
        <v>0</v>
      </c>
      <c r="D43">
        <v>0</v>
      </c>
      <c r="E43">
        <v>0</v>
      </c>
    </row>
    <row r="44" spans="1:5">
      <c r="A44" t="str">
        <f xml:space="preserve"> "1.02.01.09"</f>
        <v>1.02.01.09</v>
      </c>
      <c r="B44" t="s">
        <v>36</v>
      </c>
      <c r="C44">
        <v>0</v>
      </c>
      <c r="D44">
        <v>0</v>
      </c>
      <c r="E44">
        <v>0</v>
      </c>
    </row>
    <row r="45" spans="1:5">
      <c r="A45" t="str">
        <f xml:space="preserve"> "1.02.01.09.01"</f>
        <v>1.02.01.09.01</v>
      </c>
      <c r="B45" t="s">
        <v>24</v>
      </c>
      <c r="C45">
        <v>0</v>
      </c>
      <c r="D45">
        <v>0</v>
      </c>
      <c r="E45">
        <v>0</v>
      </c>
    </row>
    <row r="46" spans="1:5">
      <c r="A46" t="str">
        <f xml:space="preserve"> "1.02.01.09.02"</f>
        <v>1.02.01.09.02</v>
      </c>
      <c r="B46" t="s">
        <v>25</v>
      </c>
      <c r="C46">
        <v>0</v>
      </c>
      <c r="D46">
        <v>0</v>
      </c>
      <c r="E46">
        <v>0</v>
      </c>
    </row>
    <row r="47" spans="1:5">
      <c r="A47" t="str">
        <f xml:space="preserve"> "1.02.02"</f>
        <v>1.02.02</v>
      </c>
      <c r="B47" t="s">
        <v>37</v>
      </c>
      <c r="C47">
        <v>0</v>
      </c>
      <c r="D47">
        <v>0</v>
      </c>
      <c r="E47">
        <v>0</v>
      </c>
    </row>
    <row r="48" spans="1:5">
      <c r="A48" t="str">
        <f xml:space="preserve"> "1.02.02.01"</f>
        <v>1.02.02.01</v>
      </c>
      <c r="B48" t="s">
        <v>38</v>
      </c>
      <c r="C48">
        <v>0</v>
      </c>
      <c r="D48">
        <v>0</v>
      </c>
      <c r="E48">
        <v>0</v>
      </c>
    </row>
    <row r="49" spans="1:5">
      <c r="A49" t="str">
        <f xml:space="preserve"> "1.02.02.01.01"</f>
        <v>1.02.02.01.01</v>
      </c>
      <c r="B49" t="s">
        <v>39</v>
      </c>
      <c r="C49">
        <v>0</v>
      </c>
      <c r="D49">
        <v>0</v>
      </c>
      <c r="E49">
        <v>0</v>
      </c>
    </row>
    <row r="50" spans="1:5">
      <c r="A50" t="str">
        <f xml:space="preserve"> "1.02.02.01.02"</f>
        <v>1.02.02.01.02</v>
      </c>
      <c r="B50" t="s">
        <v>40</v>
      </c>
      <c r="C50">
        <v>0</v>
      </c>
      <c r="D50">
        <v>0</v>
      </c>
      <c r="E50">
        <v>0</v>
      </c>
    </row>
    <row r="51" spans="1:5">
      <c r="A51" t="str">
        <f xml:space="preserve"> "1.02.02.01.03"</f>
        <v>1.02.02.01.03</v>
      </c>
      <c r="B51" t="s">
        <v>41</v>
      </c>
      <c r="C51">
        <v>0</v>
      </c>
      <c r="D51">
        <v>0</v>
      </c>
      <c r="E51">
        <v>0</v>
      </c>
    </row>
    <row r="52" spans="1:5">
      <c r="A52" t="str">
        <f xml:space="preserve"> "1.02.02.01.04"</f>
        <v>1.02.02.01.04</v>
      </c>
      <c r="B52" t="s">
        <v>42</v>
      </c>
      <c r="C52">
        <v>0</v>
      </c>
      <c r="D52">
        <v>0</v>
      </c>
      <c r="E52">
        <v>0</v>
      </c>
    </row>
    <row r="53" spans="1:5">
      <c r="A53" t="str">
        <f xml:space="preserve"> "1.02.02.02"</f>
        <v>1.02.02.02</v>
      </c>
      <c r="B53" t="s">
        <v>43</v>
      </c>
      <c r="C53">
        <v>0</v>
      </c>
      <c r="D53">
        <v>0</v>
      </c>
      <c r="E53">
        <v>0</v>
      </c>
    </row>
    <row r="54" spans="1:5">
      <c r="A54" t="str">
        <f xml:space="preserve"> "1.02.03"</f>
        <v>1.02.03</v>
      </c>
      <c r="B54" t="s">
        <v>44</v>
      </c>
      <c r="C54">
        <v>0</v>
      </c>
      <c r="D54">
        <v>0</v>
      </c>
      <c r="E54">
        <v>0</v>
      </c>
    </row>
    <row r="55" spans="1:5">
      <c r="A55" t="str">
        <f xml:space="preserve"> "1.02.03.01"</f>
        <v>1.02.03.01</v>
      </c>
      <c r="B55" t="s">
        <v>45</v>
      </c>
      <c r="C55">
        <v>0</v>
      </c>
      <c r="D55">
        <v>0</v>
      </c>
      <c r="E55">
        <v>0</v>
      </c>
    </row>
    <row r="56" spans="1:5">
      <c r="A56" t="str">
        <f xml:space="preserve"> "1.02.03.02"</f>
        <v>1.02.03.02</v>
      </c>
      <c r="B56" t="s">
        <v>46</v>
      </c>
      <c r="C56">
        <v>0</v>
      </c>
      <c r="D56">
        <v>0</v>
      </c>
      <c r="E56">
        <v>0</v>
      </c>
    </row>
    <row r="57" spans="1:5">
      <c r="A57" t="str">
        <f xml:space="preserve"> "1.02.03.03"</f>
        <v>1.02.03.03</v>
      </c>
      <c r="B57" t="s">
        <v>47</v>
      </c>
      <c r="C57">
        <v>0</v>
      </c>
      <c r="D57">
        <v>0</v>
      </c>
      <c r="E57">
        <v>0</v>
      </c>
    </row>
    <row r="58" spans="1:5">
      <c r="A58" t="str">
        <f xml:space="preserve"> "1.02.04"</f>
        <v>1.02.04</v>
      </c>
      <c r="B58" t="s">
        <v>48</v>
      </c>
      <c r="C58">
        <v>0</v>
      </c>
      <c r="D58">
        <v>0</v>
      </c>
      <c r="E58">
        <v>0</v>
      </c>
    </row>
    <row r="59" spans="1:5">
      <c r="A59" t="str">
        <f xml:space="preserve"> "1.02.04.01"</f>
        <v>1.02.04.01</v>
      </c>
      <c r="B59" t="s">
        <v>49</v>
      </c>
      <c r="C59">
        <v>0</v>
      </c>
      <c r="D59">
        <v>0</v>
      </c>
      <c r="E59">
        <v>0</v>
      </c>
    </row>
    <row r="60" spans="1:5">
      <c r="A60" t="str">
        <f xml:space="preserve"> "1.02.04.01.01"</f>
        <v>1.02.04.01.01</v>
      </c>
      <c r="B60" t="s">
        <v>50</v>
      </c>
      <c r="C60">
        <v>0</v>
      </c>
      <c r="D60">
        <v>0</v>
      </c>
      <c r="E60">
        <v>0</v>
      </c>
    </row>
    <row r="61" spans="1:5">
      <c r="A61" t="str">
        <f xml:space="preserve"> "1.02.05"</f>
        <v>1.02.05</v>
      </c>
      <c r="B61" t="s">
        <v>51</v>
      </c>
      <c r="C61">
        <v>0</v>
      </c>
      <c r="D61">
        <v>0</v>
      </c>
      <c r="E61">
        <v>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cols>
    <col min="1" max="1" width="15.42578125" bestFit="1" customWidth="1"/>
    <col min="2" max="2" width="58.7109375" bestFit="1" customWidth="1"/>
    <col min="3" max="3" width="25.85546875" bestFit="1" customWidth="1"/>
    <col min="4" max="4" width="29.140625" bestFit="1" customWidth="1"/>
    <col min="5" max="5" width="33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tr">
        <f xml:space="preserve"> "2"</f>
        <v>2</v>
      </c>
      <c r="B3" t="s">
        <v>52</v>
      </c>
      <c r="C3">
        <v>1</v>
      </c>
      <c r="D3">
        <v>0</v>
      </c>
      <c r="E3">
        <v>0</v>
      </c>
    </row>
    <row r="4" spans="1:5">
      <c r="A4" t="str">
        <f xml:space="preserve"> "2.01"</f>
        <v>2.01</v>
      </c>
      <c r="B4" t="s">
        <v>53</v>
      </c>
      <c r="C4">
        <v>0</v>
      </c>
      <c r="D4">
        <v>0</v>
      </c>
      <c r="E4">
        <v>0</v>
      </c>
    </row>
    <row r="5" spans="1:5">
      <c r="A5" t="str">
        <f xml:space="preserve"> "2.01.01"</f>
        <v>2.01.01</v>
      </c>
      <c r="B5" t="s">
        <v>54</v>
      </c>
      <c r="C5">
        <v>0</v>
      </c>
      <c r="D5">
        <v>0</v>
      </c>
      <c r="E5">
        <v>0</v>
      </c>
    </row>
    <row r="6" spans="1:5">
      <c r="A6" t="str">
        <f xml:space="preserve"> "2.01.01.01"</f>
        <v>2.01.01.01</v>
      </c>
      <c r="B6" t="s">
        <v>55</v>
      </c>
      <c r="C6">
        <v>0</v>
      </c>
      <c r="D6">
        <v>0</v>
      </c>
      <c r="E6">
        <v>0</v>
      </c>
    </row>
    <row r="7" spans="1:5">
      <c r="A7" t="str">
        <f xml:space="preserve"> "2.01.01.02"</f>
        <v>2.01.01.02</v>
      </c>
      <c r="B7" t="s">
        <v>56</v>
      </c>
      <c r="C7">
        <v>0</v>
      </c>
      <c r="D7">
        <v>0</v>
      </c>
      <c r="E7">
        <v>0</v>
      </c>
    </row>
    <row r="8" spans="1:5">
      <c r="A8" t="str">
        <f xml:space="preserve"> "2.01.02"</f>
        <v>2.01.02</v>
      </c>
      <c r="B8" t="s">
        <v>57</v>
      </c>
      <c r="C8">
        <v>0</v>
      </c>
      <c r="D8">
        <v>0</v>
      </c>
      <c r="E8">
        <v>0</v>
      </c>
    </row>
    <row r="9" spans="1:5">
      <c r="A9" t="str">
        <f xml:space="preserve"> "2.01.02.01"</f>
        <v>2.01.02.01</v>
      </c>
      <c r="B9" t="s">
        <v>58</v>
      </c>
      <c r="C9">
        <v>0</v>
      </c>
      <c r="D9">
        <v>0</v>
      </c>
      <c r="E9">
        <v>0</v>
      </c>
    </row>
    <row r="10" spans="1:5">
      <c r="A10" t="str">
        <f xml:space="preserve"> "2.01.02.02"</f>
        <v>2.01.02.02</v>
      </c>
      <c r="B10" t="s">
        <v>59</v>
      </c>
      <c r="C10">
        <v>0</v>
      </c>
      <c r="D10">
        <v>0</v>
      </c>
      <c r="E10">
        <v>0</v>
      </c>
    </row>
    <row r="11" spans="1:5">
      <c r="A11" t="str">
        <f xml:space="preserve"> "2.01.03"</f>
        <v>2.01.03</v>
      </c>
      <c r="B11" t="s">
        <v>60</v>
      </c>
      <c r="C11">
        <v>0</v>
      </c>
      <c r="D11">
        <v>0</v>
      </c>
      <c r="E11">
        <v>0</v>
      </c>
    </row>
    <row r="12" spans="1:5">
      <c r="A12" t="str">
        <f xml:space="preserve"> "2.01.03.01"</f>
        <v>2.01.03.01</v>
      </c>
      <c r="B12" t="s">
        <v>61</v>
      </c>
      <c r="C12">
        <v>0</v>
      </c>
      <c r="D12">
        <v>0</v>
      </c>
      <c r="E12">
        <v>0</v>
      </c>
    </row>
    <row r="13" spans="1:5">
      <c r="A13" t="str">
        <f xml:space="preserve"> "2.01.03.01.01"</f>
        <v>2.01.03.01.01</v>
      </c>
      <c r="B13" t="s">
        <v>62</v>
      </c>
      <c r="C13">
        <v>0</v>
      </c>
      <c r="D13">
        <v>0</v>
      </c>
      <c r="E13">
        <v>0</v>
      </c>
    </row>
    <row r="14" spans="1:5">
      <c r="A14" t="str">
        <f xml:space="preserve"> "2.01.03.02"</f>
        <v>2.01.03.02</v>
      </c>
      <c r="B14" t="s">
        <v>63</v>
      </c>
      <c r="C14">
        <v>0</v>
      </c>
      <c r="D14">
        <v>0</v>
      </c>
      <c r="E14">
        <v>0</v>
      </c>
    </row>
    <row r="15" spans="1:5">
      <c r="A15" t="str">
        <f xml:space="preserve"> "2.01.03.03"</f>
        <v>2.01.03.03</v>
      </c>
      <c r="B15" t="s">
        <v>64</v>
      </c>
      <c r="C15">
        <v>0</v>
      </c>
      <c r="D15">
        <v>0</v>
      </c>
      <c r="E15">
        <v>0</v>
      </c>
    </row>
    <row r="16" spans="1:5">
      <c r="A16" t="str">
        <f xml:space="preserve"> "2.01.04"</f>
        <v>2.01.04</v>
      </c>
      <c r="B16" t="s">
        <v>65</v>
      </c>
      <c r="C16">
        <v>0</v>
      </c>
      <c r="D16">
        <v>0</v>
      </c>
      <c r="E16">
        <v>0</v>
      </c>
    </row>
    <row r="17" spans="1:5">
      <c r="A17" t="str">
        <f xml:space="preserve"> "2.01.04.01"</f>
        <v>2.01.04.01</v>
      </c>
      <c r="B17" t="s">
        <v>65</v>
      </c>
      <c r="C17">
        <v>0</v>
      </c>
      <c r="D17">
        <v>0</v>
      </c>
      <c r="E17">
        <v>0</v>
      </c>
    </row>
    <row r="18" spans="1:5">
      <c r="A18" t="str">
        <f xml:space="preserve"> "2.01.04.01.01"</f>
        <v>2.01.04.01.01</v>
      </c>
      <c r="B18" t="s">
        <v>66</v>
      </c>
      <c r="C18">
        <v>0</v>
      </c>
      <c r="D18">
        <v>0</v>
      </c>
      <c r="E18">
        <v>0</v>
      </c>
    </row>
    <row r="19" spans="1:5">
      <c r="A19" t="str">
        <f xml:space="preserve"> "2.01.04.01.02"</f>
        <v>2.01.04.01.02</v>
      </c>
      <c r="B19" t="s">
        <v>67</v>
      </c>
      <c r="C19">
        <v>0</v>
      </c>
      <c r="D19">
        <v>0</v>
      </c>
      <c r="E19">
        <v>0</v>
      </c>
    </row>
    <row r="20" spans="1:5">
      <c r="A20" t="str">
        <f xml:space="preserve"> "2.01.04.02"</f>
        <v>2.01.04.02</v>
      </c>
      <c r="B20" t="s">
        <v>68</v>
      </c>
      <c r="C20">
        <v>0</v>
      </c>
      <c r="D20">
        <v>0</v>
      </c>
      <c r="E20">
        <v>0</v>
      </c>
    </row>
    <row r="21" spans="1:5">
      <c r="A21" t="str">
        <f xml:space="preserve"> "2.01.04.03"</f>
        <v>2.01.04.03</v>
      </c>
      <c r="B21" t="s">
        <v>69</v>
      </c>
      <c r="C21">
        <v>0</v>
      </c>
      <c r="D21">
        <v>0</v>
      </c>
      <c r="E21">
        <v>0</v>
      </c>
    </row>
    <row r="22" spans="1:5">
      <c r="A22" t="str">
        <f xml:space="preserve"> "2.01.05"</f>
        <v>2.01.05</v>
      </c>
      <c r="B22" t="s">
        <v>70</v>
      </c>
      <c r="C22">
        <v>0</v>
      </c>
      <c r="D22">
        <v>0</v>
      </c>
      <c r="E22">
        <v>0</v>
      </c>
    </row>
    <row r="23" spans="1:5">
      <c r="A23" t="str">
        <f xml:space="preserve"> "2.01.05.01"</f>
        <v>2.01.05.01</v>
      </c>
      <c r="B23" t="s">
        <v>71</v>
      </c>
      <c r="C23">
        <v>0</v>
      </c>
      <c r="D23">
        <v>0</v>
      </c>
      <c r="E23">
        <v>0</v>
      </c>
    </row>
    <row r="24" spans="1:5">
      <c r="A24" t="str">
        <f xml:space="preserve"> "2.01.05.01.01"</f>
        <v>2.01.05.01.01</v>
      </c>
      <c r="B24" t="s">
        <v>72</v>
      </c>
      <c r="C24">
        <v>0</v>
      </c>
      <c r="D24">
        <v>0</v>
      </c>
      <c r="E24">
        <v>0</v>
      </c>
    </row>
    <row r="25" spans="1:5">
      <c r="A25" t="str">
        <f xml:space="preserve"> "2.01.05.01.02"</f>
        <v>2.01.05.01.02</v>
      </c>
      <c r="B25" t="s">
        <v>73</v>
      </c>
      <c r="C25">
        <v>0</v>
      </c>
      <c r="D25">
        <v>0</v>
      </c>
      <c r="E25">
        <v>0</v>
      </c>
    </row>
    <row r="26" spans="1:5">
      <c r="A26" t="str">
        <f xml:space="preserve"> "2.01.05.01.03"</f>
        <v>2.01.05.01.03</v>
      </c>
      <c r="B26" t="s">
        <v>74</v>
      </c>
      <c r="C26">
        <v>0</v>
      </c>
      <c r="D26">
        <v>0</v>
      </c>
      <c r="E26">
        <v>0</v>
      </c>
    </row>
    <row r="27" spans="1:5">
      <c r="A27" t="str">
        <f xml:space="preserve"> "2.01.05.01.04"</f>
        <v>2.01.05.01.04</v>
      </c>
      <c r="B27" t="s">
        <v>75</v>
      </c>
      <c r="C27">
        <v>0</v>
      </c>
      <c r="D27">
        <v>0</v>
      </c>
      <c r="E27">
        <v>0</v>
      </c>
    </row>
    <row r="28" spans="1:5">
      <c r="A28" t="str">
        <f xml:space="preserve"> "2.01.05.02"</f>
        <v>2.01.05.02</v>
      </c>
      <c r="B28" t="s">
        <v>26</v>
      </c>
      <c r="C28">
        <v>0</v>
      </c>
      <c r="D28">
        <v>0</v>
      </c>
      <c r="E28">
        <v>0</v>
      </c>
    </row>
    <row r="29" spans="1:5">
      <c r="A29" t="str">
        <f xml:space="preserve"> "2.01.05.02.01"</f>
        <v>2.01.05.02.01</v>
      </c>
      <c r="B29" t="s">
        <v>76</v>
      </c>
      <c r="C29">
        <v>0</v>
      </c>
      <c r="D29">
        <v>0</v>
      </c>
      <c r="E29">
        <v>0</v>
      </c>
    </row>
    <row r="30" spans="1:5">
      <c r="A30" t="str">
        <f xml:space="preserve"> "2.01.05.02.02"</f>
        <v>2.01.05.02.02</v>
      </c>
      <c r="B30" t="s">
        <v>77</v>
      </c>
      <c r="C30">
        <v>0</v>
      </c>
      <c r="D30">
        <v>0</v>
      </c>
      <c r="E30">
        <v>0</v>
      </c>
    </row>
    <row r="31" spans="1:5">
      <c r="A31" t="str">
        <f xml:space="preserve"> "2.01.05.02.03"</f>
        <v>2.01.05.02.03</v>
      </c>
      <c r="B31" t="s">
        <v>78</v>
      </c>
      <c r="C31">
        <v>0</v>
      </c>
      <c r="D31">
        <v>0</v>
      </c>
      <c r="E31">
        <v>0</v>
      </c>
    </row>
    <row r="32" spans="1:5">
      <c r="A32" t="str">
        <f xml:space="preserve"> "2.01.06"</f>
        <v>2.01.06</v>
      </c>
      <c r="B32" t="s">
        <v>79</v>
      </c>
      <c r="C32">
        <v>0</v>
      </c>
      <c r="D32">
        <v>0</v>
      </c>
      <c r="E32">
        <v>0</v>
      </c>
    </row>
    <row r="33" spans="1:5">
      <c r="A33" t="str">
        <f xml:space="preserve"> "2.01.06.01"</f>
        <v>2.01.06.01</v>
      </c>
      <c r="B33" t="s">
        <v>80</v>
      </c>
      <c r="C33">
        <v>0</v>
      </c>
      <c r="D33">
        <v>0</v>
      </c>
      <c r="E33">
        <v>0</v>
      </c>
    </row>
    <row r="34" spans="1:5">
      <c r="A34" t="str">
        <f xml:space="preserve"> "2.01.06.01.01"</f>
        <v>2.01.06.01.01</v>
      </c>
      <c r="B34" t="s">
        <v>81</v>
      </c>
      <c r="C34">
        <v>0</v>
      </c>
      <c r="D34">
        <v>0</v>
      </c>
      <c r="E34">
        <v>0</v>
      </c>
    </row>
    <row r="35" spans="1:5">
      <c r="A35" t="str">
        <f xml:space="preserve"> "2.01.06.01.02"</f>
        <v>2.01.06.01.02</v>
      </c>
      <c r="B35" t="s">
        <v>82</v>
      </c>
      <c r="C35">
        <v>0</v>
      </c>
      <c r="D35">
        <v>0</v>
      </c>
      <c r="E35">
        <v>0</v>
      </c>
    </row>
    <row r="36" spans="1:5">
      <c r="A36" t="str">
        <f xml:space="preserve"> "2.01.06.01.03"</f>
        <v>2.01.06.01.03</v>
      </c>
      <c r="B36" t="s">
        <v>83</v>
      </c>
      <c r="C36">
        <v>0</v>
      </c>
      <c r="D36">
        <v>0</v>
      </c>
      <c r="E36">
        <v>0</v>
      </c>
    </row>
    <row r="37" spans="1:5">
      <c r="A37" t="str">
        <f xml:space="preserve"> "2.01.06.01.04"</f>
        <v>2.01.06.01.04</v>
      </c>
      <c r="B37" t="s">
        <v>84</v>
      </c>
      <c r="C37">
        <v>0</v>
      </c>
      <c r="D37">
        <v>0</v>
      </c>
      <c r="E37">
        <v>0</v>
      </c>
    </row>
    <row r="38" spans="1:5">
      <c r="A38" t="str">
        <f xml:space="preserve"> "2.01.06.02"</f>
        <v>2.01.06.02</v>
      </c>
      <c r="B38" t="s">
        <v>85</v>
      </c>
      <c r="C38">
        <v>0</v>
      </c>
      <c r="D38">
        <v>0</v>
      </c>
      <c r="E38">
        <v>0</v>
      </c>
    </row>
    <row r="39" spans="1:5">
      <c r="A39" t="str">
        <f xml:space="preserve"> "2.01.06.02.01"</f>
        <v>2.01.06.02.01</v>
      </c>
      <c r="B39" t="s">
        <v>86</v>
      </c>
      <c r="C39">
        <v>0</v>
      </c>
      <c r="D39">
        <v>0</v>
      </c>
      <c r="E39">
        <v>0</v>
      </c>
    </row>
    <row r="40" spans="1:5">
      <c r="A40" t="str">
        <f xml:space="preserve"> "2.01.06.02.02"</f>
        <v>2.01.06.02.02</v>
      </c>
      <c r="B40" t="s">
        <v>87</v>
      </c>
      <c r="C40">
        <v>0</v>
      </c>
      <c r="D40">
        <v>0</v>
      </c>
      <c r="E40">
        <v>0</v>
      </c>
    </row>
    <row r="41" spans="1:5">
      <c r="A41" t="str">
        <f xml:space="preserve"> "2.01.06.02.03"</f>
        <v>2.01.06.02.03</v>
      </c>
      <c r="B41" t="s">
        <v>88</v>
      </c>
      <c r="C41">
        <v>0</v>
      </c>
      <c r="D41">
        <v>0</v>
      </c>
      <c r="E41">
        <v>0</v>
      </c>
    </row>
    <row r="42" spans="1:5">
      <c r="A42" t="str">
        <f xml:space="preserve"> "2.01.07"</f>
        <v>2.01.07</v>
      </c>
      <c r="B42" t="s">
        <v>89</v>
      </c>
      <c r="C42">
        <v>0</v>
      </c>
      <c r="D42">
        <v>0</v>
      </c>
      <c r="E42">
        <v>0</v>
      </c>
    </row>
    <row r="43" spans="1:5">
      <c r="A43" t="str">
        <f xml:space="preserve"> "2.01.07.01"</f>
        <v>2.01.07.01</v>
      </c>
      <c r="B43" t="s">
        <v>90</v>
      </c>
      <c r="C43">
        <v>0</v>
      </c>
      <c r="D43">
        <v>0</v>
      </c>
      <c r="E43">
        <v>0</v>
      </c>
    </row>
    <row r="44" spans="1:5">
      <c r="A44" t="str">
        <f xml:space="preserve"> "2.01.07.02"</f>
        <v>2.01.07.02</v>
      </c>
      <c r="B44" t="s">
        <v>91</v>
      </c>
      <c r="C44">
        <v>0</v>
      </c>
      <c r="D44">
        <v>0</v>
      </c>
      <c r="E44">
        <v>0</v>
      </c>
    </row>
    <row r="45" spans="1:5">
      <c r="A45" t="str">
        <f xml:space="preserve"> "2.02"</f>
        <v>2.02</v>
      </c>
      <c r="B45" t="s">
        <v>92</v>
      </c>
      <c r="C45">
        <v>0</v>
      </c>
      <c r="D45">
        <v>0</v>
      </c>
      <c r="E45">
        <v>0</v>
      </c>
    </row>
    <row r="46" spans="1:5">
      <c r="A46" t="str">
        <f xml:space="preserve"> "2.02.01"</f>
        <v>2.02.01</v>
      </c>
      <c r="B46" t="s">
        <v>65</v>
      </c>
      <c r="C46">
        <v>0</v>
      </c>
      <c r="D46">
        <v>0</v>
      </c>
      <c r="E46">
        <v>0</v>
      </c>
    </row>
    <row r="47" spans="1:5">
      <c r="A47" t="str">
        <f xml:space="preserve"> "2.02.01.01"</f>
        <v>2.02.01.01</v>
      </c>
      <c r="B47" t="s">
        <v>65</v>
      </c>
      <c r="C47">
        <v>0</v>
      </c>
      <c r="D47">
        <v>0</v>
      </c>
      <c r="E47">
        <v>0</v>
      </c>
    </row>
    <row r="48" spans="1:5">
      <c r="A48" t="str">
        <f xml:space="preserve"> "2.02.01.01.01"</f>
        <v>2.02.01.01.01</v>
      </c>
      <c r="B48" t="s">
        <v>66</v>
      </c>
      <c r="C48">
        <v>0</v>
      </c>
      <c r="D48">
        <v>0</v>
      </c>
      <c r="E48">
        <v>0</v>
      </c>
    </row>
    <row r="49" spans="1:5">
      <c r="A49" t="str">
        <f xml:space="preserve"> "2.02.01.01.02"</f>
        <v>2.02.01.01.02</v>
      </c>
      <c r="B49" t="s">
        <v>67</v>
      </c>
      <c r="C49">
        <v>0</v>
      </c>
      <c r="D49">
        <v>0</v>
      </c>
      <c r="E49">
        <v>0</v>
      </c>
    </row>
    <row r="50" spans="1:5">
      <c r="A50" t="str">
        <f xml:space="preserve"> "2.02.01.02"</f>
        <v>2.02.01.02</v>
      </c>
      <c r="B50" t="s">
        <v>68</v>
      </c>
      <c r="C50">
        <v>0</v>
      </c>
      <c r="D50">
        <v>0</v>
      </c>
      <c r="E50">
        <v>0</v>
      </c>
    </row>
    <row r="51" spans="1:5">
      <c r="A51" t="str">
        <f xml:space="preserve"> "2.02.01.03"</f>
        <v>2.02.01.03</v>
      </c>
      <c r="B51" t="s">
        <v>69</v>
      </c>
      <c r="C51">
        <v>0</v>
      </c>
      <c r="D51">
        <v>0</v>
      </c>
      <c r="E51">
        <v>0</v>
      </c>
    </row>
    <row r="52" spans="1:5">
      <c r="A52" t="str">
        <f xml:space="preserve"> "2.02.02"</f>
        <v>2.02.02</v>
      </c>
      <c r="B52" t="s">
        <v>70</v>
      </c>
      <c r="C52">
        <v>0</v>
      </c>
      <c r="D52">
        <v>0</v>
      </c>
      <c r="E52">
        <v>0</v>
      </c>
    </row>
    <row r="53" spans="1:5">
      <c r="A53" t="str">
        <f xml:space="preserve"> "2.02.02.01"</f>
        <v>2.02.02.01</v>
      </c>
      <c r="B53" t="s">
        <v>71</v>
      </c>
      <c r="C53">
        <v>0</v>
      </c>
      <c r="D53">
        <v>0</v>
      </c>
      <c r="E53">
        <v>0</v>
      </c>
    </row>
    <row r="54" spans="1:5">
      <c r="A54" t="str">
        <f xml:space="preserve"> "2.02.02.01.01"</f>
        <v>2.02.02.01.01</v>
      </c>
      <c r="B54" t="s">
        <v>72</v>
      </c>
      <c r="C54">
        <v>0</v>
      </c>
      <c r="D54">
        <v>0</v>
      </c>
      <c r="E54">
        <v>0</v>
      </c>
    </row>
    <row r="55" spans="1:5">
      <c r="A55" t="str">
        <f xml:space="preserve"> "2.02.02.01.02"</f>
        <v>2.02.02.01.02</v>
      </c>
      <c r="B55" t="s">
        <v>73</v>
      </c>
      <c r="C55">
        <v>0</v>
      </c>
      <c r="D55">
        <v>0</v>
      </c>
      <c r="E55">
        <v>0</v>
      </c>
    </row>
    <row r="56" spans="1:5">
      <c r="A56" t="str">
        <f xml:space="preserve"> "2.02.02.01.03"</f>
        <v>2.02.02.01.03</v>
      </c>
      <c r="B56" t="s">
        <v>74</v>
      </c>
      <c r="C56">
        <v>0</v>
      </c>
      <c r="D56">
        <v>0</v>
      </c>
      <c r="E56">
        <v>0</v>
      </c>
    </row>
    <row r="57" spans="1:5">
      <c r="A57" t="str">
        <f xml:space="preserve"> "2.02.02.01.04"</f>
        <v>2.02.02.01.04</v>
      </c>
      <c r="B57" t="s">
        <v>75</v>
      </c>
      <c r="C57">
        <v>0</v>
      </c>
      <c r="D57">
        <v>0</v>
      </c>
      <c r="E57">
        <v>0</v>
      </c>
    </row>
    <row r="58" spans="1:5">
      <c r="A58" t="str">
        <f xml:space="preserve"> "2.02.02.02"</f>
        <v>2.02.02.02</v>
      </c>
      <c r="B58" t="s">
        <v>26</v>
      </c>
      <c r="C58">
        <v>0</v>
      </c>
      <c r="D58">
        <v>0</v>
      </c>
      <c r="E58">
        <v>0</v>
      </c>
    </row>
    <row r="59" spans="1:5">
      <c r="A59" t="str">
        <f xml:space="preserve"> "2.02.02.02.01"</f>
        <v>2.02.02.02.01</v>
      </c>
      <c r="B59" t="s">
        <v>78</v>
      </c>
      <c r="C59">
        <v>0</v>
      </c>
      <c r="D59">
        <v>0</v>
      </c>
      <c r="E59">
        <v>0</v>
      </c>
    </row>
    <row r="60" spans="1:5">
      <c r="A60" t="str">
        <f xml:space="preserve"> "2.02.02.02.02"</f>
        <v>2.02.02.02.02</v>
      </c>
      <c r="B60" t="s">
        <v>93</v>
      </c>
      <c r="C60">
        <v>0</v>
      </c>
      <c r="D60">
        <v>0</v>
      </c>
      <c r="E60">
        <v>0</v>
      </c>
    </row>
    <row r="61" spans="1:5">
      <c r="A61" t="str">
        <f xml:space="preserve"> "2.02.03"</f>
        <v>2.02.03</v>
      </c>
      <c r="B61" t="s">
        <v>29</v>
      </c>
      <c r="C61">
        <v>0</v>
      </c>
      <c r="D61">
        <v>0</v>
      </c>
      <c r="E61">
        <v>0</v>
      </c>
    </row>
    <row r="62" spans="1:5">
      <c r="A62" t="str">
        <f xml:space="preserve"> "2.02.03.01"</f>
        <v>2.02.03.01</v>
      </c>
      <c r="B62" t="s">
        <v>30</v>
      </c>
      <c r="C62">
        <v>0</v>
      </c>
      <c r="D62">
        <v>0</v>
      </c>
      <c r="E62">
        <v>0</v>
      </c>
    </row>
    <row r="63" spans="1:5">
      <c r="A63" t="str">
        <f xml:space="preserve"> "2.02.04"</f>
        <v>2.02.04</v>
      </c>
      <c r="B63" t="s">
        <v>79</v>
      </c>
      <c r="C63">
        <v>0</v>
      </c>
      <c r="D63">
        <v>0</v>
      </c>
      <c r="E63">
        <v>0</v>
      </c>
    </row>
    <row r="64" spans="1:5">
      <c r="A64" t="str">
        <f xml:space="preserve"> "2.02.04.01"</f>
        <v>2.02.04.01</v>
      </c>
      <c r="B64" t="s">
        <v>80</v>
      </c>
      <c r="C64">
        <v>0</v>
      </c>
      <c r="D64">
        <v>0</v>
      </c>
      <c r="E64">
        <v>0</v>
      </c>
    </row>
    <row r="65" spans="1:5">
      <c r="A65" t="str">
        <f xml:space="preserve"> "2.02.04.01.01"</f>
        <v>2.02.04.01.01</v>
      </c>
      <c r="B65" t="s">
        <v>81</v>
      </c>
      <c r="C65">
        <v>0</v>
      </c>
      <c r="D65">
        <v>0</v>
      </c>
      <c r="E65">
        <v>0</v>
      </c>
    </row>
    <row r="66" spans="1:5">
      <c r="A66" t="str">
        <f xml:space="preserve"> "2.02.04.01.02"</f>
        <v>2.02.04.01.02</v>
      </c>
      <c r="B66" t="s">
        <v>82</v>
      </c>
      <c r="C66">
        <v>0</v>
      </c>
      <c r="D66">
        <v>0</v>
      </c>
      <c r="E66">
        <v>0</v>
      </c>
    </row>
    <row r="67" spans="1:5">
      <c r="A67" t="str">
        <f xml:space="preserve"> "2.02.04.01.03"</f>
        <v>2.02.04.01.03</v>
      </c>
      <c r="B67" t="s">
        <v>83</v>
      </c>
      <c r="C67">
        <v>0</v>
      </c>
      <c r="D67">
        <v>0</v>
      </c>
      <c r="E67">
        <v>0</v>
      </c>
    </row>
    <row r="68" spans="1:5">
      <c r="A68" t="str">
        <f xml:space="preserve"> "2.02.04.01.04"</f>
        <v>2.02.04.01.04</v>
      </c>
      <c r="B68" t="s">
        <v>84</v>
      </c>
      <c r="C68">
        <v>0</v>
      </c>
      <c r="D68">
        <v>0</v>
      </c>
      <c r="E68">
        <v>0</v>
      </c>
    </row>
    <row r="69" spans="1:5">
      <c r="A69" t="str">
        <f xml:space="preserve"> "2.02.04.02"</f>
        <v>2.02.04.02</v>
      </c>
      <c r="B69" t="s">
        <v>85</v>
      </c>
      <c r="C69">
        <v>0</v>
      </c>
      <c r="D69">
        <v>0</v>
      </c>
      <c r="E69">
        <v>0</v>
      </c>
    </row>
    <row r="70" spans="1:5">
      <c r="A70" t="str">
        <f xml:space="preserve"> "2.02.04.02.01"</f>
        <v>2.02.04.02.01</v>
      </c>
      <c r="B70" t="s">
        <v>86</v>
      </c>
      <c r="C70">
        <v>0</v>
      </c>
      <c r="D70">
        <v>0</v>
      </c>
      <c r="E70">
        <v>0</v>
      </c>
    </row>
    <row r="71" spans="1:5">
      <c r="A71" t="str">
        <f xml:space="preserve"> "2.02.04.02.02"</f>
        <v>2.02.04.02.02</v>
      </c>
      <c r="B71" t="s">
        <v>87</v>
      </c>
      <c r="C71">
        <v>0</v>
      </c>
      <c r="D71">
        <v>0</v>
      </c>
      <c r="E71">
        <v>0</v>
      </c>
    </row>
    <row r="72" spans="1:5">
      <c r="A72" t="str">
        <f xml:space="preserve"> "2.02.04.02.03"</f>
        <v>2.02.04.02.03</v>
      </c>
      <c r="B72" t="s">
        <v>88</v>
      </c>
      <c r="C72">
        <v>0</v>
      </c>
      <c r="D72">
        <v>0</v>
      </c>
      <c r="E72">
        <v>0</v>
      </c>
    </row>
    <row r="73" spans="1:5">
      <c r="A73" t="str">
        <f xml:space="preserve"> "2.02.05"</f>
        <v>2.02.05</v>
      </c>
      <c r="B73" t="s">
        <v>89</v>
      </c>
      <c r="C73">
        <v>0</v>
      </c>
      <c r="D73">
        <v>0</v>
      </c>
      <c r="E73">
        <v>0</v>
      </c>
    </row>
    <row r="74" spans="1:5">
      <c r="A74" t="str">
        <f xml:space="preserve"> "2.02.05.01"</f>
        <v>2.02.05.01</v>
      </c>
      <c r="B74" t="s">
        <v>90</v>
      </c>
      <c r="C74">
        <v>0</v>
      </c>
      <c r="D74">
        <v>0</v>
      </c>
      <c r="E74">
        <v>0</v>
      </c>
    </row>
    <row r="75" spans="1:5">
      <c r="A75" t="str">
        <f xml:space="preserve"> "2.02.05.02"</f>
        <v>2.02.05.02</v>
      </c>
      <c r="B75" t="s">
        <v>91</v>
      </c>
      <c r="C75">
        <v>0</v>
      </c>
      <c r="D75">
        <v>0</v>
      </c>
      <c r="E75">
        <v>0</v>
      </c>
    </row>
    <row r="76" spans="1:5">
      <c r="A76" t="str">
        <f xml:space="preserve"> "2.02.06"</f>
        <v>2.02.06</v>
      </c>
      <c r="B76" t="s">
        <v>94</v>
      </c>
      <c r="C76">
        <v>0</v>
      </c>
      <c r="D76">
        <v>0</v>
      </c>
      <c r="E76">
        <v>0</v>
      </c>
    </row>
    <row r="77" spans="1:5">
      <c r="A77" t="str">
        <f xml:space="preserve"> "2.02.06.01"</f>
        <v>2.02.06.01</v>
      </c>
      <c r="B77" t="s">
        <v>95</v>
      </c>
      <c r="C77">
        <v>0</v>
      </c>
      <c r="D77">
        <v>0</v>
      </c>
      <c r="E77">
        <v>0</v>
      </c>
    </row>
    <row r="78" spans="1:5">
      <c r="A78" t="str">
        <f xml:space="preserve"> "2.02.06.02"</f>
        <v>2.02.06.02</v>
      </c>
      <c r="B78" t="s">
        <v>96</v>
      </c>
      <c r="C78">
        <v>0</v>
      </c>
      <c r="D78">
        <v>0</v>
      </c>
      <c r="E78">
        <v>0</v>
      </c>
    </row>
    <row r="79" spans="1:5">
      <c r="A79" t="str">
        <f xml:space="preserve"> "2.02.06.03"</f>
        <v>2.02.06.03</v>
      </c>
      <c r="B79" t="s">
        <v>97</v>
      </c>
      <c r="C79">
        <v>0</v>
      </c>
      <c r="D79">
        <v>0</v>
      </c>
      <c r="E79">
        <v>0</v>
      </c>
    </row>
    <row r="80" spans="1:5">
      <c r="A80" t="str">
        <f xml:space="preserve"> "2.03"</f>
        <v>2.03</v>
      </c>
      <c r="B80" t="s">
        <v>98</v>
      </c>
      <c r="C80">
        <v>0</v>
      </c>
      <c r="D80">
        <v>0</v>
      </c>
      <c r="E80">
        <v>0</v>
      </c>
    </row>
    <row r="81" spans="1:5">
      <c r="A81" t="str">
        <f xml:space="preserve"> "2.03.01"</f>
        <v>2.03.01</v>
      </c>
      <c r="B81" t="s">
        <v>99</v>
      </c>
      <c r="C81">
        <v>0</v>
      </c>
      <c r="D81">
        <v>0</v>
      </c>
      <c r="E81">
        <v>0</v>
      </c>
    </row>
    <row r="82" spans="1:5">
      <c r="A82" t="str">
        <f xml:space="preserve"> "2.03.02"</f>
        <v>2.03.02</v>
      </c>
      <c r="B82" t="s">
        <v>100</v>
      </c>
      <c r="C82">
        <v>0</v>
      </c>
      <c r="D82">
        <v>0</v>
      </c>
      <c r="E82">
        <v>0</v>
      </c>
    </row>
    <row r="83" spans="1:5">
      <c r="A83" t="str">
        <f xml:space="preserve"> "2.03.02.01"</f>
        <v>2.03.02.01</v>
      </c>
      <c r="B83" t="s">
        <v>101</v>
      </c>
      <c r="C83">
        <v>0</v>
      </c>
      <c r="D83">
        <v>0</v>
      </c>
      <c r="E83">
        <v>0</v>
      </c>
    </row>
    <row r="84" spans="1:5">
      <c r="A84" t="str">
        <f xml:space="preserve"> "2.03.02.02"</f>
        <v>2.03.02.02</v>
      </c>
      <c r="B84" t="s">
        <v>102</v>
      </c>
      <c r="C84">
        <v>0</v>
      </c>
      <c r="D84">
        <v>0</v>
      </c>
      <c r="E84">
        <v>0</v>
      </c>
    </row>
    <row r="85" spans="1:5">
      <c r="A85" t="str">
        <f xml:space="preserve"> "2.03.02.03"</f>
        <v>2.03.02.03</v>
      </c>
      <c r="B85" t="s">
        <v>103</v>
      </c>
      <c r="C85">
        <v>0</v>
      </c>
      <c r="D85">
        <v>0</v>
      </c>
      <c r="E85">
        <v>0</v>
      </c>
    </row>
    <row r="86" spans="1:5">
      <c r="A86" t="str">
        <f xml:space="preserve"> "2.03.02.04"</f>
        <v>2.03.02.04</v>
      </c>
      <c r="B86" t="s">
        <v>104</v>
      </c>
      <c r="C86">
        <v>0</v>
      </c>
      <c r="D86">
        <v>0</v>
      </c>
      <c r="E86">
        <v>0</v>
      </c>
    </row>
    <row r="87" spans="1:5">
      <c r="A87" t="str">
        <f xml:space="preserve"> "2.03.02.05"</f>
        <v>2.03.02.05</v>
      </c>
      <c r="B87" t="s">
        <v>105</v>
      </c>
      <c r="C87">
        <v>0</v>
      </c>
      <c r="D87">
        <v>0</v>
      </c>
      <c r="E87">
        <v>0</v>
      </c>
    </row>
    <row r="88" spans="1:5">
      <c r="A88" t="str">
        <f xml:space="preserve"> "2.03.02.06"</f>
        <v>2.03.02.06</v>
      </c>
      <c r="B88" t="s">
        <v>93</v>
      </c>
      <c r="C88">
        <v>0</v>
      </c>
      <c r="D88">
        <v>0</v>
      </c>
      <c r="E88">
        <v>0</v>
      </c>
    </row>
    <row r="89" spans="1:5">
      <c r="A89" t="str">
        <f xml:space="preserve"> "2.03.03"</f>
        <v>2.03.03</v>
      </c>
      <c r="B89" t="s">
        <v>106</v>
      </c>
      <c r="C89">
        <v>0</v>
      </c>
      <c r="D89">
        <v>0</v>
      </c>
      <c r="E89">
        <v>0</v>
      </c>
    </row>
    <row r="90" spans="1:5">
      <c r="A90" t="str">
        <f xml:space="preserve"> "2.03.04"</f>
        <v>2.03.04</v>
      </c>
      <c r="B90" t="s">
        <v>107</v>
      </c>
      <c r="C90">
        <v>0</v>
      </c>
      <c r="D90">
        <v>0</v>
      </c>
      <c r="E90">
        <v>0</v>
      </c>
    </row>
    <row r="91" spans="1:5">
      <c r="A91" t="str">
        <f xml:space="preserve"> "2.03.04.01"</f>
        <v>2.03.04.01</v>
      </c>
      <c r="B91" t="s">
        <v>108</v>
      </c>
      <c r="C91">
        <v>0</v>
      </c>
      <c r="D91">
        <v>0</v>
      </c>
      <c r="E91">
        <v>0</v>
      </c>
    </row>
    <row r="92" spans="1:5">
      <c r="A92" t="str">
        <f xml:space="preserve"> "2.03.04.02"</f>
        <v>2.03.04.02</v>
      </c>
      <c r="B92" t="s">
        <v>109</v>
      </c>
      <c r="C92">
        <v>0</v>
      </c>
      <c r="D92">
        <v>0</v>
      </c>
      <c r="E92">
        <v>0</v>
      </c>
    </row>
    <row r="93" spans="1:5">
      <c r="A93" t="str">
        <f xml:space="preserve"> "2.03.04.03"</f>
        <v>2.03.04.03</v>
      </c>
      <c r="B93" t="s">
        <v>110</v>
      </c>
      <c r="C93">
        <v>0</v>
      </c>
      <c r="D93">
        <v>0</v>
      </c>
      <c r="E93">
        <v>0</v>
      </c>
    </row>
    <row r="94" spans="1:5">
      <c r="A94" t="str">
        <f xml:space="preserve"> "2.03.04.04"</f>
        <v>2.03.04.04</v>
      </c>
      <c r="B94" t="s">
        <v>111</v>
      </c>
      <c r="C94">
        <v>0</v>
      </c>
      <c r="D94">
        <v>0</v>
      </c>
      <c r="E94">
        <v>0</v>
      </c>
    </row>
    <row r="95" spans="1:5">
      <c r="A95" t="str">
        <f xml:space="preserve"> "2.03.04.05"</f>
        <v>2.03.04.05</v>
      </c>
      <c r="B95" t="s">
        <v>112</v>
      </c>
      <c r="C95">
        <v>0</v>
      </c>
      <c r="D95">
        <v>0</v>
      </c>
      <c r="E95">
        <v>0</v>
      </c>
    </row>
    <row r="96" spans="1:5">
      <c r="A96" t="str">
        <f xml:space="preserve"> "2.03.04.06"</f>
        <v>2.03.04.06</v>
      </c>
      <c r="B96" t="s">
        <v>113</v>
      </c>
      <c r="C96">
        <v>0</v>
      </c>
      <c r="D96">
        <v>0</v>
      </c>
      <c r="E96">
        <v>0</v>
      </c>
    </row>
    <row r="97" spans="1:5">
      <c r="A97" t="str">
        <f xml:space="preserve"> "2.03.04.07"</f>
        <v>2.03.04.07</v>
      </c>
      <c r="B97" t="s">
        <v>114</v>
      </c>
      <c r="C97">
        <v>0</v>
      </c>
      <c r="D97">
        <v>0</v>
      </c>
      <c r="E97">
        <v>0</v>
      </c>
    </row>
    <row r="98" spans="1:5">
      <c r="A98" t="str">
        <f xml:space="preserve"> "2.03.04.08"</f>
        <v>2.03.04.08</v>
      </c>
      <c r="B98" t="s">
        <v>115</v>
      </c>
      <c r="C98">
        <v>0</v>
      </c>
      <c r="D98">
        <v>0</v>
      </c>
      <c r="E98">
        <v>0</v>
      </c>
    </row>
    <row r="99" spans="1:5">
      <c r="A99" t="str">
        <f xml:space="preserve"> "2.03.04.09"</f>
        <v>2.03.04.09</v>
      </c>
      <c r="B99" t="s">
        <v>105</v>
      </c>
      <c r="C99">
        <v>0</v>
      </c>
      <c r="D99">
        <v>0</v>
      </c>
      <c r="E99">
        <v>0</v>
      </c>
    </row>
    <row r="100" spans="1:5">
      <c r="A100" t="str">
        <f xml:space="preserve"> "2.03.05"</f>
        <v>2.03.05</v>
      </c>
      <c r="B100" t="s">
        <v>116</v>
      </c>
      <c r="C100">
        <v>0</v>
      </c>
      <c r="D100">
        <v>0</v>
      </c>
      <c r="E100">
        <v>0</v>
      </c>
    </row>
    <row r="101" spans="1:5">
      <c r="A101" t="str">
        <f xml:space="preserve"> "2.03.06"</f>
        <v>2.03.06</v>
      </c>
      <c r="B101" t="s">
        <v>117</v>
      </c>
      <c r="C101">
        <v>0</v>
      </c>
      <c r="D101">
        <v>0</v>
      </c>
      <c r="E101">
        <v>0</v>
      </c>
    </row>
    <row r="102" spans="1:5">
      <c r="A102" t="str">
        <f xml:space="preserve"> "2.03.07"</f>
        <v>2.03.07</v>
      </c>
      <c r="B102" t="s">
        <v>118</v>
      </c>
      <c r="C102">
        <v>0</v>
      </c>
      <c r="D102">
        <v>0</v>
      </c>
      <c r="E102">
        <v>0</v>
      </c>
    </row>
    <row r="103" spans="1:5">
      <c r="A103" t="str">
        <f xml:space="preserve"> "2.03.08"</f>
        <v>2.03.08</v>
      </c>
      <c r="B103" t="s">
        <v>119</v>
      </c>
      <c r="C103">
        <v>0</v>
      </c>
      <c r="D103">
        <v>0</v>
      </c>
      <c r="E103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cols>
    <col min="1" max="1" width="15.42578125" bestFit="1" customWidth="1"/>
    <col min="2" max="2" width="62.14062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120</v>
      </c>
      <c r="D2" t="s">
        <v>121</v>
      </c>
      <c r="E2" t="s">
        <v>122</v>
      </c>
    </row>
    <row r="3" spans="1:5">
      <c r="A3" t="str">
        <f xml:space="preserve"> "3.01"</f>
        <v>3.01</v>
      </c>
      <c r="B3" t="s">
        <v>123</v>
      </c>
      <c r="C3">
        <v>1</v>
      </c>
      <c r="D3">
        <v>0</v>
      </c>
      <c r="E3">
        <v>0</v>
      </c>
    </row>
    <row r="4" spans="1:5">
      <c r="A4" t="str">
        <f xml:space="preserve"> "3.02"</f>
        <v>3.02</v>
      </c>
      <c r="B4" t="s">
        <v>124</v>
      </c>
      <c r="C4">
        <v>0</v>
      </c>
      <c r="D4">
        <v>0</v>
      </c>
      <c r="E4">
        <v>0</v>
      </c>
    </row>
    <row r="5" spans="1:5">
      <c r="A5" t="str">
        <f xml:space="preserve"> "3.03"</f>
        <v>3.03</v>
      </c>
      <c r="B5" t="s">
        <v>125</v>
      </c>
      <c r="C5">
        <v>0</v>
      </c>
      <c r="D5">
        <v>0</v>
      </c>
      <c r="E5">
        <v>0</v>
      </c>
    </row>
    <row r="6" spans="1:5">
      <c r="A6" t="str">
        <f xml:space="preserve"> "3.04"</f>
        <v>3.04</v>
      </c>
      <c r="B6" t="s">
        <v>126</v>
      </c>
      <c r="C6">
        <v>0</v>
      </c>
      <c r="D6">
        <v>0</v>
      </c>
      <c r="E6">
        <v>0</v>
      </c>
    </row>
    <row r="7" spans="1:5">
      <c r="A7" t="str">
        <f xml:space="preserve"> "3.04.01"</f>
        <v>3.04.01</v>
      </c>
      <c r="B7" t="s">
        <v>127</v>
      </c>
      <c r="C7">
        <v>0</v>
      </c>
      <c r="D7">
        <v>0</v>
      </c>
      <c r="E7">
        <v>0</v>
      </c>
    </row>
    <row r="8" spans="1:5">
      <c r="A8" t="str">
        <f xml:space="preserve"> "3.04.02"</f>
        <v>3.04.02</v>
      </c>
      <c r="B8" t="s">
        <v>128</v>
      </c>
      <c r="C8">
        <v>0</v>
      </c>
      <c r="D8">
        <v>0</v>
      </c>
      <c r="E8">
        <v>0</v>
      </c>
    </row>
    <row r="9" spans="1:5">
      <c r="A9" t="str">
        <f xml:space="preserve"> "3.04.03"</f>
        <v>3.04.03</v>
      </c>
      <c r="B9" t="s">
        <v>129</v>
      </c>
      <c r="C9">
        <v>0</v>
      </c>
      <c r="D9">
        <v>0</v>
      </c>
      <c r="E9">
        <v>0</v>
      </c>
    </row>
    <row r="10" spans="1:5">
      <c r="A10" t="str">
        <f xml:space="preserve"> "3.04.04"</f>
        <v>3.04.04</v>
      </c>
      <c r="B10" t="s">
        <v>130</v>
      </c>
      <c r="C10">
        <v>0</v>
      </c>
      <c r="D10">
        <v>0</v>
      </c>
      <c r="E10">
        <v>0</v>
      </c>
    </row>
    <row r="11" spans="1:5">
      <c r="A11" t="str">
        <f xml:space="preserve"> "3.04.05"</f>
        <v>3.04.05</v>
      </c>
      <c r="B11" t="s">
        <v>131</v>
      </c>
      <c r="C11">
        <v>0</v>
      </c>
      <c r="D11">
        <v>0</v>
      </c>
      <c r="E11">
        <v>0</v>
      </c>
    </row>
    <row r="12" spans="1:5">
      <c r="A12" t="str">
        <f xml:space="preserve"> "3.04.06"</f>
        <v>3.04.06</v>
      </c>
      <c r="B12" t="s">
        <v>132</v>
      </c>
      <c r="C12">
        <v>0</v>
      </c>
      <c r="D12">
        <v>0</v>
      </c>
      <c r="E12">
        <v>0</v>
      </c>
    </row>
    <row r="13" spans="1:5">
      <c r="A13" t="str">
        <f xml:space="preserve"> "3.05"</f>
        <v>3.05</v>
      </c>
      <c r="B13" t="s">
        <v>133</v>
      </c>
      <c r="C13">
        <v>0</v>
      </c>
      <c r="D13">
        <v>0</v>
      </c>
      <c r="E13">
        <v>0</v>
      </c>
    </row>
    <row r="14" spans="1:5">
      <c r="A14" t="str">
        <f xml:space="preserve"> "3.06"</f>
        <v>3.06</v>
      </c>
      <c r="B14" t="s">
        <v>134</v>
      </c>
      <c r="C14">
        <v>0</v>
      </c>
      <c r="D14">
        <v>0</v>
      </c>
      <c r="E14">
        <v>0</v>
      </c>
    </row>
    <row r="15" spans="1:5">
      <c r="A15" t="str">
        <f xml:space="preserve"> "3.06.01"</f>
        <v>3.06.01</v>
      </c>
      <c r="B15" t="s">
        <v>135</v>
      </c>
      <c r="C15">
        <v>0</v>
      </c>
      <c r="D15">
        <v>0</v>
      </c>
      <c r="E15">
        <v>0</v>
      </c>
    </row>
    <row r="16" spans="1:5">
      <c r="A16" t="str">
        <f xml:space="preserve"> "3.06.02"</f>
        <v>3.06.02</v>
      </c>
      <c r="B16" t="s">
        <v>136</v>
      </c>
      <c r="C16">
        <v>0</v>
      </c>
      <c r="D16">
        <v>0</v>
      </c>
      <c r="E16">
        <v>0</v>
      </c>
    </row>
    <row r="17" spans="1:5">
      <c r="A17" t="str">
        <f xml:space="preserve"> "3.07"</f>
        <v>3.07</v>
      </c>
      <c r="B17" t="s">
        <v>137</v>
      </c>
      <c r="C17">
        <v>0</v>
      </c>
      <c r="D17">
        <v>0</v>
      </c>
      <c r="E17">
        <v>0</v>
      </c>
    </row>
    <row r="18" spans="1:5">
      <c r="A18" t="str">
        <f xml:space="preserve"> "3.08"</f>
        <v>3.08</v>
      </c>
      <c r="B18" t="s">
        <v>138</v>
      </c>
      <c r="C18">
        <v>0</v>
      </c>
      <c r="D18">
        <v>0</v>
      </c>
      <c r="E18">
        <v>0</v>
      </c>
    </row>
    <row r="19" spans="1:5">
      <c r="A19" t="str">
        <f xml:space="preserve"> "3.08.01"</f>
        <v>3.08.01</v>
      </c>
      <c r="B19" t="s">
        <v>139</v>
      </c>
      <c r="C19">
        <v>0</v>
      </c>
      <c r="D19">
        <v>0</v>
      </c>
      <c r="E19">
        <v>0</v>
      </c>
    </row>
    <row r="20" spans="1:5">
      <c r="A20" t="str">
        <f xml:space="preserve"> "3.08.02"</f>
        <v>3.08.02</v>
      </c>
      <c r="B20" t="s">
        <v>51</v>
      </c>
      <c r="C20">
        <v>0</v>
      </c>
      <c r="D20">
        <v>0</v>
      </c>
      <c r="E20">
        <v>0</v>
      </c>
    </row>
    <row r="21" spans="1:5">
      <c r="A21" t="str">
        <f xml:space="preserve"> "3.09"</f>
        <v>3.09</v>
      </c>
      <c r="B21" t="s">
        <v>140</v>
      </c>
      <c r="C21">
        <v>0</v>
      </c>
      <c r="D21">
        <v>0</v>
      </c>
      <c r="E21">
        <v>0</v>
      </c>
    </row>
    <row r="22" spans="1:5">
      <c r="A22" t="str">
        <f xml:space="preserve"> "3.10"</f>
        <v>3.10</v>
      </c>
      <c r="B22" t="s">
        <v>141</v>
      </c>
      <c r="C22">
        <v>0</v>
      </c>
      <c r="D22">
        <v>0</v>
      </c>
      <c r="E22">
        <v>0</v>
      </c>
    </row>
    <row r="23" spans="1:5">
      <c r="A23" t="str">
        <f xml:space="preserve"> "3.10.01"</f>
        <v>3.10.01</v>
      </c>
      <c r="B23" t="s">
        <v>142</v>
      </c>
      <c r="C23">
        <v>0</v>
      </c>
      <c r="D23">
        <v>0</v>
      </c>
      <c r="E23">
        <v>0</v>
      </c>
    </row>
    <row r="24" spans="1:5">
      <c r="A24" t="str">
        <f xml:space="preserve"> "3.10.02"</f>
        <v>3.10.02</v>
      </c>
      <c r="B24" t="s">
        <v>143</v>
      </c>
      <c r="C24">
        <v>0</v>
      </c>
      <c r="D24">
        <v>0</v>
      </c>
      <c r="E24">
        <v>0</v>
      </c>
    </row>
    <row r="25" spans="1:5">
      <c r="A25" t="str">
        <f xml:space="preserve"> "3.11"</f>
        <v>3.11</v>
      </c>
      <c r="B25" t="s">
        <v>144</v>
      </c>
      <c r="C25">
        <v>0</v>
      </c>
      <c r="D25">
        <v>0</v>
      </c>
      <c r="E25">
        <v>0</v>
      </c>
    </row>
    <row r="26" spans="1:5">
      <c r="A26" t="str">
        <f xml:space="preserve"> "3.99"</f>
        <v>3.99</v>
      </c>
      <c r="B26" t="s">
        <v>145</v>
      </c>
      <c r="C26">
        <v>0</v>
      </c>
      <c r="D26">
        <v>0</v>
      </c>
      <c r="E26">
        <v>0</v>
      </c>
    </row>
    <row r="27" spans="1:5">
      <c r="A27" t="str">
        <f xml:space="preserve"> "3.99.01"</f>
        <v>3.99.01</v>
      </c>
      <c r="B27" t="s">
        <v>146</v>
      </c>
      <c r="C27">
        <v>0</v>
      </c>
      <c r="D27">
        <v>0</v>
      </c>
      <c r="E27">
        <v>0</v>
      </c>
    </row>
    <row r="28" spans="1:5">
      <c r="A28" t="str">
        <f xml:space="preserve"> "3.99.02"</f>
        <v>3.99.02</v>
      </c>
      <c r="B28" t="s">
        <v>147</v>
      </c>
      <c r="C28">
        <v>0</v>
      </c>
      <c r="D28">
        <v>0</v>
      </c>
      <c r="E28">
        <v>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cols>
    <col min="1" max="1" width="15.42578125" bestFit="1" customWidth="1"/>
    <col min="2" max="2" width="31.4257812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120</v>
      </c>
      <c r="D2" t="s">
        <v>121</v>
      </c>
      <c r="E2" t="s">
        <v>122</v>
      </c>
    </row>
    <row r="3" spans="1:5">
      <c r="A3" t="str">
        <f xml:space="preserve"> "4.01"</f>
        <v>4.01</v>
      </c>
      <c r="B3" t="s">
        <v>148</v>
      </c>
      <c r="C3">
        <v>1</v>
      </c>
      <c r="D3">
        <v>0</v>
      </c>
      <c r="E3">
        <v>0</v>
      </c>
    </row>
    <row r="4" spans="1:5">
      <c r="A4" t="str">
        <f xml:space="preserve"> "4.02"</f>
        <v>4.02</v>
      </c>
      <c r="B4" t="s">
        <v>119</v>
      </c>
      <c r="C4">
        <v>0</v>
      </c>
      <c r="D4">
        <v>0</v>
      </c>
      <c r="E4">
        <v>0</v>
      </c>
    </row>
    <row r="5" spans="1:5">
      <c r="A5" t="str">
        <f xml:space="preserve"> "4.03"</f>
        <v>4.03</v>
      </c>
      <c r="B5" t="s">
        <v>149</v>
      </c>
      <c r="C5">
        <v>0</v>
      </c>
      <c r="D5">
        <v>0</v>
      </c>
      <c r="E5">
        <v>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15.42578125" bestFit="1" customWidth="1"/>
    <col min="2" max="2" width="41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120</v>
      </c>
      <c r="D2" t="s">
        <v>121</v>
      </c>
      <c r="E2" t="s">
        <v>122</v>
      </c>
    </row>
    <row r="3" spans="1:5">
      <c r="A3" t="str">
        <f xml:space="preserve"> "6.01"</f>
        <v>6.01</v>
      </c>
      <c r="B3" t="s">
        <v>150</v>
      </c>
      <c r="C3">
        <v>1</v>
      </c>
      <c r="D3">
        <v>0</v>
      </c>
      <c r="E3">
        <v>0</v>
      </c>
    </row>
    <row r="4" spans="1:5">
      <c r="A4" t="str">
        <f xml:space="preserve"> "6.01.01"</f>
        <v>6.01.01</v>
      </c>
      <c r="B4" t="s">
        <v>151</v>
      </c>
      <c r="C4">
        <v>0</v>
      </c>
      <c r="D4">
        <v>0</v>
      </c>
      <c r="E4">
        <v>0</v>
      </c>
    </row>
    <row r="5" spans="1:5">
      <c r="A5" t="str">
        <f xml:space="preserve"> "6.01.02"</f>
        <v>6.01.02</v>
      </c>
      <c r="B5" t="s">
        <v>152</v>
      </c>
      <c r="C5">
        <v>0</v>
      </c>
      <c r="D5">
        <v>0</v>
      </c>
      <c r="E5">
        <v>0</v>
      </c>
    </row>
    <row r="6" spans="1:5">
      <c r="A6" t="str">
        <f xml:space="preserve"> "6.01.03"</f>
        <v>6.01.03</v>
      </c>
      <c r="B6" t="s">
        <v>26</v>
      </c>
      <c r="C6">
        <v>0</v>
      </c>
      <c r="D6">
        <v>0</v>
      </c>
      <c r="E6">
        <v>0</v>
      </c>
    </row>
    <row r="7" spans="1:5">
      <c r="A7" t="str">
        <f xml:space="preserve"> "6.02"</f>
        <v>6.02</v>
      </c>
      <c r="B7" t="s">
        <v>153</v>
      </c>
      <c r="C7">
        <v>0</v>
      </c>
      <c r="D7">
        <v>0</v>
      </c>
      <c r="E7">
        <v>0</v>
      </c>
    </row>
    <row r="8" spans="1:5">
      <c r="A8" t="str">
        <f xml:space="preserve"> "6.03"</f>
        <v>6.03</v>
      </c>
      <c r="B8" t="s">
        <v>154</v>
      </c>
      <c r="C8">
        <v>0</v>
      </c>
      <c r="D8">
        <v>0</v>
      </c>
      <c r="E8">
        <v>0</v>
      </c>
    </row>
    <row r="9" spans="1:5">
      <c r="A9" t="str">
        <f xml:space="preserve"> "6.04"</f>
        <v>6.04</v>
      </c>
      <c r="B9" t="s">
        <v>155</v>
      </c>
      <c r="C9">
        <v>0</v>
      </c>
      <c r="D9">
        <v>0</v>
      </c>
      <c r="E9">
        <v>0</v>
      </c>
    </row>
    <row r="10" spans="1:5">
      <c r="A10" t="str">
        <f xml:space="preserve"> "6.05"</f>
        <v>6.05</v>
      </c>
      <c r="B10" t="s">
        <v>156</v>
      </c>
      <c r="C10">
        <v>0</v>
      </c>
      <c r="D10">
        <v>0</v>
      </c>
      <c r="E10">
        <v>0</v>
      </c>
    </row>
    <row r="11" spans="1:5">
      <c r="A11" t="str">
        <f xml:space="preserve"> "6.05.01"</f>
        <v>6.05.01</v>
      </c>
      <c r="B11" t="s">
        <v>157</v>
      </c>
      <c r="C11">
        <v>0</v>
      </c>
      <c r="D11">
        <v>0</v>
      </c>
      <c r="E11">
        <v>0</v>
      </c>
    </row>
    <row r="12" spans="1:5">
      <c r="A12" t="str">
        <f xml:space="preserve"> "6.05.02"</f>
        <v>6.05.02</v>
      </c>
      <c r="B12" t="s">
        <v>158</v>
      </c>
      <c r="C12">
        <v>0</v>
      </c>
      <c r="D12">
        <v>0</v>
      </c>
      <c r="E12">
        <v>0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cols>
    <col min="1" max="1" width="15.42578125" bestFit="1" customWidth="1"/>
    <col min="2" max="2" width="51.7109375" bestFit="1" customWidth="1"/>
    <col min="3" max="3" width="25.140625" bestFit="1" customWidth="1"/>
    <col min="4" max="4" width="58.140625" bestFit="1" customWidth="1"/>
    <col min="5" max="5" width="16.85546875" bestFit="1" customWidth="1"/>
    <col min="6" max="6" width="29.7109375" bestFit="1" customWidth="1"/>
    <col min="7" max="7" width="29.42578125" bestFit="1" customWidth="1"/>
    <col min="8" max="8" width="18" bestFit="1" customWidth="1"/>
  </cols>
  <sheetData>
    <row r="1" spans="1:8">
      <c r="A1" t="s">
        <v>0</v>
      </c>
    </row>
    <row r="2" spans="1:8">
      <c r="A2" t="s">
        <v>1</v>
      </c>
      <c r="B2" t="s">
        <v>2</v>
      </c>
      <c r="C2" t="s">
        <v>159</v>
      </c>
      <c r="D2" t="s">
        <v>160</v>
      </c>
      <c r="E2" t="s">
        <v>161</v>
      </c>
      <c r="F2" t="s">
        <v>162</v>
      </c>
      <c r="G2" t="s">
        <v>119</v>
      </c>
      <c r="H2" t="s">
        <v>98</v>
      </c>
    </row>
    <row r="3" spans="1:8">
      <c r="A3" t="str">
        <f xml:space="preserve"> "5.01"</f>
        <v>5.01</v>
      </c>
      <c r="B3" t="s">
        <v>163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tr">
        <f xml:space="preserve"> "5.02"</f>
        <v>5.02</v>
      </c>
      <c r="B4" t="s">
        <v>164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tr">
        <f xml:space="preserve"> "5.03"</f>
        <v>5.03</v>
      </c>
      <c r="B5" t="s">
        <v>165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tr">
        <f xml:space="preserve"> "5.04"</f>
        <v>5.04</v>
      </c>
      <c r="B6" t="s">
        <v>166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tr">
        <f xml:space="preserve"> "5.04.01"</f>
        <v>5.04.01</v>
      </c>
      <c r="B7" t="s">
        <v>167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tr">
        <f xml:space="preserve"> "5.04.02"</f>
        <v>5.04.02</v>
      </c>
      <c r="B8" t="s">
        <v>168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tr">
        <f xml:space="preserve"> "5.04.03"</f>
        <v>5.04.03</v>
      </c>
      <c r="B9" t="s">
        <v>169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tr">
        <f xml:space="preserve"> "5.04.04"</f>
        <v>5.04.04</v>
      </c>
      <c r="B10" t="s">
        <v>170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tr">
        <f xml:space="preserve"> "5.04.05"</f>
        <v>5.04.05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tr">
        <f xml:space="preserve"> "5.04.06"</f>
        <v>5.04.06</v>
      </c>
      <c r="B12" t="s">
        <v>172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tr">
        <f xml:space="preserve"> "5.04.07"</f>
        <v>5.04.07</v>
      </c>
      <c r="B13" t="s">
        <v>173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tr">
        <f xml:space="preserve"> "5.05"</f>
        <v>5.05</v>
      </c>
      <c r="B14" t="s">
        <v>174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tr">
        <f xml:space="preserve"> "5.05.01"</f>
        <v>5.05.01</v>
      </c>
      <c r="B15" t="s">
        <v>148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tr">
        <f xml:space="preserve"> "5.05.02"</f>
        <v>5.05.02</v>
      </c>
      <c r="B16" t="s">
        <v>119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t="str">
        <f xml:space="preserve"> "5.05.02.01"</f>
        <v>5.05.02.01</v>
      </c>
      <c r="B17" t="s">
        <v>175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t="str">
        <f xml:space="preserve"> "5.05.02.02"</f>
        <v>5.05.02.02</v>
      </c>
      <c r="B18" t="s">
        <v>176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t="str">
        <f xml:space="preserve"> "5.05.02.03"</f>
        <v>5.05.02.03</v>
      </c>
      <c r="B19" t="s">
        <v>177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t="str">
        <f xml:space="preserve"> "5.05.02.04"</f>
        <v>5.05.02.04</v>
      </c>
      <c r="B20" t="s">
        <v>178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t="str">
        <f xml:space="preserve"> "5.05.02.05"</f>
        <v>5.05.02.05</v>
      </c>
      <c r="B21" t="s">
        <v>179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t="str">
        <f xml:space="preserve"> "5.05.03"</f>
        <v>5.05.03</v>
      </c>
      <c r="B22" t="s">
        <v>180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t="str">
        <f xml:space="preserve"> "5.05.03.01"</f>
        <v>5.05.03.01</v>
      </c>
      <c r="B23" t="s">
        <v>175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t="str">
        <f xml:space="preserve"> "5.06"</f>
        <v>5.06</v>
      </c>
      <c r="B24" t="s">
        <v>181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t="str">
        <f xml:space="preserve"> "5.06.01"</f>
        <v>5.06.01</v>
      </c>
      <c r="B25" t="s">
        <v>182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t="str">
        <f xml:space="preserve"> "5.06.02"</f>
        <v>5.06.02</v>
      </c>
      <c r="B26" t="s">
        <v>183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t="str">
        <f xml:space="preserve"> "5.06.03"</f>
        <v>5.06.03</v>
      </c>
      <c r="B27" t="s">
        <v>184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t="str">
        <f xml:space="preserve"> "5.07"</f>
        <v>5.07</v>
      </c>
      <c r="B28" t="s">
        <v>185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cols>
    <col min="1" max="1" width="15.42578125" bestFit="1" customWidth="1"/>
    <col min="2" max="2" width="45.8554687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120</v>
      </c>
      <c r="D2" t="s">
        <v>121</v>
      </c>
      <c r="E2" t="s">
        <v>122</v>
      </c>
    </row>
    <row r="3" spans="1:5">
      <c r="A3" t="str">
        <f xml:space="preserve"> "7.01"</f>
        <v>7.01</v>
      </c>
      <c r="B3" t="s">
        <v>186</v>
      </c>
      <c r="C3">
        <v>1</v>
      </c>
      <c r="D3">
        <v>0</v>
      </c>
      <c r="E3">
        <v>0</v>
      </c>
    </row>
    <row r="4" spans="1:5">
      <c r="A4" t="str">
        <f xml:space="preserve"> "7.01.01"</f>
        <v>7.01.01</v>
      </c>
      <c r="B4" t="s">
        <v>187</v>
      </c>
      <c r="C4">
        <v>0</v>
      </c>
      <c r="D4">
        <v>0</v>
      </c>
      <c r="E4">
        <v>0</v>
      </c>
    </row>
    <row r="5" spans="1:5">
      <c r="A5" t="str">
        <f xml:space="preserve"> "7.01.02"</f>
        <v>7.01.02</v>
      </c>
      <c r="B5" t="s">
        <v>188</v>
      </c>
      <c r="C5">
        <v>0</v>
      </c>
      <c r="D5">
        <v>0</v>
      </c>
      <c r="E5">
        <v>0</v>
      </c>
    </row>
    <row r="6" spans="1:5">
      <c r="A6" t="str">
        <f xml:space="preserve"> "7.01.03"</f>
        <v>7.01.03</v>
      </c>
      <c r="B6" t="s">
        <v>189</v>
      </c>
      <c r="C6">
        <v>0</v>
      </c>
      <c r="D6">
        <v>0</v>
      </c>
      <c r="E6">
        <v>0</v>
      </c>
    </row>
    <row r="7" spans="1:5">
      <c r="A7" t="str">
        <f xml:space="preserve"> "7.01.04"</f>
        <v>7.01.04</v>
      </c>
      <c r="B7" t="s">
        <v>190</v>
      </c>
      <c r="C7">
        <v>0</v>
      </c>
      <c r="D7">
        <v>0</v>
      </c>
      <c r="E7">
        <v>0</v>
      </c>
    </row>
    <row r="8" spans="1:5">
      <c r="A8" t="str">
        <f xml:space="preserve"> "7.02"</f>
        <v>7.02</v>
      </c>
      <c r="B8" t="s">
        <v>191</v>
      </c>
      <c r="C8">
        <v>0</v>
      </c>
      <c r="D8">
        <v>0</v>
      </c>
      <c r="E8">
        <v>0</v>
      </c>
    </row>
    <row r="9" spans="1:5">
      <c r="A9" t="str">
        <f xml:space="preserve"> "7.02.01"</f>
        <v>7.02.01</v>
      </c>
      <c r="B9" t="s">
        <v>192</v>
      </c>
      <c r="C9">
        <v>0</v>
      </c>
      <c r="D9">
        <v>0</v>
      </c>
      <c r="E9">
        <v>0</v>
      </c>
    </row>
    <row r="10" spans="1:5">
      <c r="A10" t="str">
        <f xml:space="preserve"> "7.02.02"</f>
        <v>7.02.02</v>
      </c>
      <c r="B10" t="s">
        <v>193</v>
      </c>
      <c r="C10">
        <v>0</v>
      </c>
      <c r="D10">
        <v>0</v>
      </c>
      <c r="E10">
        <v>0</v>
      </c>
    </row>
    <row r="11" spans="1:5">
      <c r="A11" t="str">
        <f xml:space="preserve"> "7.02.03"</f>
        <v>7.02.03</v>
      </c>
      <c r="B11" t="s">
        <v>194</v>
      </c>
      <c r="C11">
        <v>0</v>
      </c>
      <c r="D11">
        <v>0</v>
      </c>
      <c r="E11">
        <v>0</v>
      </c>
    </row>
    <row r="12" spans="1:5">
      <c r="A12" t="str">
        <f xml:space="preserve"> "7.02.04"</f>
        <v>7.02.04</v>
      </c>
      <c r="B12" t="s">
        <v>26</v>
      </c>
      <c r="C12">
        <v>0</v>
      </c>
      <c r="D12">
        <v>0</v>
      </c>
      <c r="E12">
        <v>0</v>
      </c>
    </row>
    <row r="13" spans="1:5">
      <c r="A13" t="str">
        <f xml:space="preserve"> "7.03"</f>
        <v>7.03</v>
      </c>
      <c r="B13" t="s">
        <v>195</v>
      </c>
      <c r="C13">
        <v>0</v>
      </c>
      <c r="D13">
        <v>0</v>
      </c>
      <c r="E13">
        <v>0</v>
      </c>
    </row>
    <row r="14" spans="1:5">
      <c r="A14" t="str">
        <f xml:space="preserve"> "7.04"</f>
        <v>7.04</v>
      </c>
      <c r="B14" t="s">
        <v>196</v>
      </c>
      <c r="C14">
        <v>0</v>
      </c>
      <c r="D14">
        <v>0</v>
      </c>
      <c r="E14">
        <v>0</v>
      </c>
    </row>
    <row r="15" spans="1:5">
      <c r="A15" t="str">
        <f xml:space="preserve"> "7.04.01"</f>
        <v>7.04.01</v>
      </c>
      <c r="B15" t="s">
        <v>197</v>
      </c>
      <c r="C15">
        <v>0</v>
      </c>
      <c r="D15">
        <v>0</v>
      </c>
      <c r="E15">
        <v>0</v>
      </c>
    </row>
    <row r="16" spans="1:5">
      <c r="A16" t="str">
        <f xml:space="preserve"> "7.04.02"</f>
        <v>7.04.02</v>
      </c>
      <c r="B16" t="s">
        <v>198</v>
      </c>
      <c r="C16">
        <v>0</v>
      </c>
      <c r="D16">
        <v>0</v>
      </c>
      <c r="E16">
        <v>0</v>
      </c>
    </row>
    <row r="17" spans="1:5">
      <c r="A17" t="str">
        <f xml:space="preserve"> "7.05"</f>
        <v>7.05</v>
      </c>
      <c r="B17" t="s">
        <v>199</v>
      </c>
      <c r="C17">
        <v>0</v>
      </c>
      <c r="D17">
        <v>0</v>
      </c>
      <c r="E17">
        <v>0</v>
      </c>
    </row>
    <row r="18" spans="1:5">
      <c r="A18" t="str">
        <f xml:space="preserve"> "7.06"</f>
        <v>7.06</v>
      </c>
      <c r="B18" t="s">
        <v>200</v>
      </c>
      <c r="C18">
        <v>0</v>
      </c>
      <c r="D18">
        <v>0</v>
      </c>
      <c r="E18">
        <v>0</v>
      </c>
    </row>
    <row r="19" spans="1:5">
      <c r="A19" t="str">
        <f xml:space="preserve"> "7.06.01"</f>
        <v>7.06.01</v>
      </c>
      <c r="B19" t="s">
        <v>132</v>
      </c>
      <c r="C19">
        <v>0</v>
      </c>
      <c r="D19">
        <v>0</v>
      </c>
      <c r="E19">
        <v>0</v>
      </c>
    </row>
    <row r="20" spans="1:5">
      <c r="A20" t="str">
        <f xml:space="preserve"> "7.06.02"</f>
        <v>7.06.02</v>
      </c>
      <c r="B20" t="s">
        <v>135</v>
      </c>
      <c r="C20">
        <v>0</v>
      </c>
      <c r="D20">
        <v>0</v>
      </c>
      <c r="E20">
        <v>0</v>
      </c>
    </row>
    <row r="21" spans="1:5">
      <c r="A21" t="str">
        <f xml:space="preserve"> "7.06.03"</f>
        <v>7.06.03</v>
      </c>
      <c r="B21" t="s">
        <v>26</v>
      </c>
      <c r="C21">
        <v>0</v>
      </c>
      <c r="D21">
        <v>0</v>
      </c>
      <c r="E21">
        <v>0</v>
      </c>
    </row>
    <row r="22" spans="1:5">
      <c r="A22" t="str">
        <f xml:space="preserve"> "7.07"</f>
        <v>7.07</v>
      </c>
      <c r="B22" t="s">
        <v>201</v>
      </c>
      <c r="C22">
        <v>0</v>
      </c>
      <c r="D22">
        <v>0</v>
      </c>
      <c r="E22">
        <v>0</v>
      </c>
    </row>
    <row r="23" spans="1:5">
      <c r="A23" t="str">
        <f xml:space="preserve"> "7.08"</f>
        <v>7.08</v>
      </c>
      <c r="B23" t="s">
        <v>202</v>
      </c>
      <c r="C23">
        <v>0</v>
      </c>
      <c r="D23">
        <v>0</v>
      </c>
      <c r="E23">
        <v>0</v>
      </c>
    </row>
    <row r="24" spans="1:5">
      <c r="A24" t="str">
        <f xml:space="preserve"> "7.08.01"</f>
        <v>7.08.01</v>
      </c>
      <c r="B24" t="s">
        <v>203</v>
      </c>
      <c r="C24">
        <v>0</v>
      </c>
      <c r="D24">
        <v>0</v>
      </c>
      <c r="E24">
        <v>0</v>
      </c>
    </row>
    <row r="25" spans="1:5">
      <c r="A25" t="str">
        <f xml:space="preserve"> "7.08.01.01"</f>
        <v>7.08.01.01</v>
      </c>
      <c r="B25" t="s">
        <v>204</v>
      </c>
      <c r="C25">
        <v>0</v>
      </c>
      <c r="D25">
        <v>0</v>
      </c>
      <c r="E25">
        <v>0</v>
      </c>
    </row>
    <row r="26" spans="1:5">
      <c r="A26" t="str">
        <f xml:space="preserve"> "7.08.01.02"</f>
        <v>7.08.01.02</v>
      </c>
      <c r="B26" t="s">
        <v>205</v>
      </c>
      <c r="C26">
        <v>0</v>
      </c>
      <c r="D26">
        <v>0</v>
      </c>
      <c r="E26">
        <v>0</v>
      </c>
    </row>
    <row r="27" spans="1:5">
      <c r="A27" t="str">
        <f xml:space="preserve"> "7.08.01.03"</f>
        <v>7.08.01.03</v>
      </c>
      <c r="B27" t="s">
        <v>206</v>
      </c>
      <c r="C27">
        <v>0</v>
      </c>
      <c r="D27">
        <v>0</v>
      </c>
      <c r="E27">
        <v>0</v>
      </c>
    </row>
    <row r="28" spans="1:5">
      <c r="A28" t="str">
        <f xml:space="preserve"> "7.08.01.04"</f>
        <v>7.08.01.04</v>
      </c>
      <c r="B28" t="s">
        <v>26</v>
      </c>
      <c r="C28">
        <v>0</v>
      </c>
      <c r="D28">
        <v>0</v>
      </c>
      <c r="E28">
        <v>0</v>
      </c>
    </row>
    <row r="29" spans="1:5">
      <c r="A29" t="str">
        <f xml:space="preserve"> "7.08.02"</f>
        <v>7.08.02</v>
      </c>
      <c r="B29" t="s">
        <v>207</v>
      </c>
      <c r="C29">
        <v>0</v>
      </c>
      <c r="D29">
        <v>0</v>
      </c>
      <c r="E29">
        <v>0</v>
      </c>
    </row>
    <row r="30" spans="1:5">
      <c r="A30" t="str">
        <f xml:space="preserve"> "7.08.02.01"</f>
        <v>7.08.02.01</v>
      </c>
      <c r="B30" t="s">
        <v>208</v>
      </c>
      <c r="C30">
        <v>0</v>
      </c>
      <c r="D30">
        <v>0</v>
      </c>
      <c r="E30">
        <v>0</v>
      </c>
    </row>
    <row r="31" spans="1:5">
      <c r="A31" t="str">
        <f xml:space="preserve"> "7.08.02.02"</f>
        <v>7.08.02.02</v>
      </c>
      <c r="B31" t="s">
        <v>209</v>
      </c>
      <c r="C31">
        <v>0</v>
      </c>
      <c r="D31">
        <v>0</v>
      </c>
      <c r="E31">
        <v>0</v>
      </c>
    </row>
    <row r="32" spans="1:5">
      <c r="A32" t="str">
        <f xml:space="preserve"> "7.08.02.03"</f>
        <v>7.08.02.03</v>
      </c>
      <c r="B32" t="s">
        <v>210</v>
      </c>
      <c r="C32">
        <v>0</v>
      </c>
      <c r="D32">
        <v>0</v>
      </c>
      <c r="E32">
        <v>0</v>
      </c>
    </row>
    <row r="33" spans="1:5">
      <c r="A33" t="str">
        <f xml:space="preserve"> "7.08.03"</f>
        <v>7.08.03</v>
      </c>
      <c r="B33" t="s">
        <v>211</v>
      </c>
      <c r="C33">
        <v>0</v>
      </c>
      <c r="D33">
        <v>0</v>
      </c>
      <c r="E33">
        <v>0</v>
      </c>
    </row>
    <row r="34" spans="1:5">
      <c r="A34" t="str">
        <f xml:space="preserve"> "7.08.03.01"</f>
        <v>7.08.03.01</v>
      </c>
      <c r="B34" t="s">
        <v>212</v>
      </c>
      <c r="C34">
        <v>0</v>
      </c>
      <c r="D34">
        <v>0</v>
      </c>
      <c r="E34">
        <v>0</v>
      </c>
    </row>
    <row r="35" spans="1:5">
      <c r="A35" t="str">
        <f xml:space="preserve"> "7.08.03.02"</f>
        <v>7.08.03.02</v>
      </c>
      <c r="B35" t="s">
        <v>213</v>
      </c>
      <c r="C35">
        <v>0</v>
      </c>
      <c r="D35">
        <v>0</v>
      </c>
      <c r="E35">
        <v>0</v>
      </c>
    </row>
    <row r="36" spans="1:5">
      <c r="A36" t="str">
        <f xml:space="preserve"> "7.08.03.03"</f>
        <v>7.08.03.03</v>
      </c>
      <c r="B36" t="s">
        <v>198</v>
      </c>
      <c r="C36">
        <v>0</v>
      </c>
      <c r="D36">
        <v>0</v>
      </c>
      <c r="E36">
        <v>0</v>
      </c>
    </row>
    <row r="37" spans="1:5">
      <c r="A37" t="str">
        <f xml:space="preserve"> "7.08.04"</f>
        <v>7.08.04</v>
      </c>
      <c r="B37" t="s">
        <v>214</v>
      </c>
      <c r="C37">
        <v>0</v>
      </c>
      <c r="D37">
        <v>0</v>
      </c>
      <c r="E37">
        <v>0</v>
      </c>
    </row>
    <row r="38" spans="1:5">
      <c r="A38" t="str">
        <f xml:space="preserve"> "7.08.04.01"</f>
        <v>7.08.04.01</v>
      </c>
      <c r="B38" t="s">
        <v>215</v>
      </c>
      <c r="C38">
        <v>0</v>
      </c>
      <c r="D38">
        <v>0</v>
      </c>
      <c r="E38">
        <v>0</v>
      </c>
    </row>
    <row r="39" spans="1:5">
      <c r="A39" t="str">
        <f xml:space="preserve"> "7.08.04.02"</f>
        <v>7.08.04.02</v>
      </c>
      <c r="B39" t="s">
        <v>172</v>
      </c>
      <c r="C39">
        <v>0</v>
      </c>
      <c r="D39">
        <v>0</v>
      </c>
      <c r="E39">
        <v>0</v>
      </c>
    </row>
    <row r="40" spans="1:5">
      <c r="A40" t="str">
        <f xml:space="preserve"> "7.08.04.03"</f>
        <v>7.08.04.03</v>
      </c>
      <c r="B40" t="s">
        <v>216</v>
      </c>
      <c r="C40">
        <v>0</v>
      </c>
      <c r="D40">
        <v>0</v>
      </c>
      <c r="E40">
        <v>0</v>
      </c>
    </row>
    <row r="41" spans="1:5">
      <c r="A41" t="str">
        <f xml:space="preserve"> "7.08.05"</f>
        <v>7.08.05</v>
      </c>
      <c r="B41" t="s">
        <v>26</v>
      </c>
      <c r="C41">
        <v>0</v>
      </c>
      <c r="D41">
        <v>0</v>
      </c>
      <c r="E41">
        <v>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cols>
    <col min="1" max="1" width="15.42578125" bestFit="1" customWidth="1"/>
    <col min="2" max="2" width="49.7109375" bestFit="1" customWidth="1"/>
    <col min="3" max="3" width="25.85546875" bestFit="1" customWidth="1"/>
    <col min="4" max="4" width="29.140625" bestFit="1" customWidth="1"/>
    <col min="5" max="5" width="33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tr">
        <f xml:space="preserve"> "1"</f>
        <v>1</v>
      </c>
      <c r="B3" t="s">
        <v>6</v>
      </c>
      <c r="C3">
        <v>1</v>
      </c>
      <c r="D3">
        <v>0</v>
      </c>
      <c r="E3">
        <v>0</v>
      </c>
    </row>
    <row r="4" spans="1:5">
      <c r="A4" t="str">
        <f xml:space="preserve"> "1.01"</f>
        <v>1.01</v>
      </c>
      <c r="B4" t="s">
        <v>7</v>
      </c>
      <c r="C4">
        <v>0</v>
      </c>
      <c r="D4">
        <v>0</v>
      </c>
      <c r="E4">
        <v>0</v>
      </c>
    </row>
    <row r="5" spans="1:5">
      <c r="A5" t="str">
        <f xml:space="preserve"> "1.01.01"</f>
        <v>1.01.01</v>
      </c>
      <c r="B5" t="s">
        <v>8</v>
      </c>
      <c r="C5">
        <v>0</v>
      </c>
      <c r="D5">
        <v>0</v>
      </c>
      <c r="E5">
        <v>0</v>
      </c>
    </row>
    <row r="6" spans="1:5">
      <c r="A6" t="str">
        <f xml:space="preserve"> "1.01.02"</f>
        <v>1.01.02</v>
      </c>
      <c r="B6" t="s">
        <v>9</v>
      </c>
      <c r="C6">
        <v>0</v>
      </c>
      <c r="D6">
        <v>0</v>
      </c>
      <c r="E6">
        <v>0</v>
      </c>
    </row>
    <row r="7" spans="1:5">
      <c r="A7" t="str">
        <f xml:space="preserve"> "1.01.02.01"</f>
        <v>1.01.02.01</v>
      </c>
      <c r="B7" t="s">
        <v>10</v>
      </c>
      <c r="C7">
        <v>0</v>
      </c>
      <c r="D7">
        <v>0</v>
      </c>
      <c r="E7">
        <v>0</v>
      </c>
    </row>
    <row r="8" spans="1:5">
      <c r="A8" t="str">
        <f xml:space="preserve"> "1.01.02.01.01"</f>
        <v>1.01.02.01.01</v>
      </c>
      <c r="B8" t="s">
        <v>11</v>
      </c>
      <c r="C8">
        <v>0</v>
      </c>
      <c r="D8">
        <v>0</v>
      </c>
      <c r="E8">
        <v>0</v>
      </c>
    </row>
    <row r="9" spans="1:5">
      <c r="A9" t="str">
        <f xml:space="preserve"> "1.01.02.01.02"</f>
        <v>1.01.02.01.02</v>
      </c>
      <c r="B9" t="s">
        <v>12</v>
      </c>
      <c r="C9">
        <v>0</v>
      </c>
      <c r="D9">
        <v>0</v>
      </c>
      <c r="E9">
        <v>0</v>
      </c>
    </row>
    <row r="10" spans="1:5">
      <c r="A10" t="str">
        <f xml:space="preserve"> "1.01.02.02"</f>
        <v>1.01.02.02</v>
      </c>
      <c r="B10" t="s">
        <v>13</v>
      </c>
      <c r="C10">
        <v>0</v>
      </c>
      <c r="D10">
        <v>0</v>
      </c>
      <c r="E10">
        <v>0</v>
      </c>
    </row>
    <row r="11" spans="1:5">
      <c r="A11" t="str">
        <f xml:space="preserve"> "1.01.02.02.01"</f>
        <v>1.01.02.02.01</v>
      </c>
      <c r="B11" t="s">
        <v>14</v>
      </c>
      <c r="C11">
        <v>0</v>
      </c>
      <c r="D11">
        <v>0</v>
      </c>
      <c r="E11">
        <v>0</v>
      </c>
    </row>
    <row r="12" spans="1:5">
      <c r="A12" t="str">
        <f xml:space="preserve"> "1.01.03"</f>
        <v>1.01.03</v>
      </c>
      <c r="B12" t="s">
        <v>15</v>
      </c>
      <c r="C12">
        <v>0</v>
      </c>
      <c r="D12">
        <v>0</v>
      </c>
      <c r="E12">
        <v>0</v>
      </c>
    </row>
    <row r="13" spans="1:5">
      <c r="A13" t="str">
        <f xml:space="preserve"> "1.01.03.01"</f>
        <v>1.01.03.01</v>
      </c>
      <c r="B13" t="s">
        <v>16</v>
      </c>
      <c r="C13">
        <v>0</v>
      </c>
      <c r="D13">
        <v>0</v>
      </c>
      <c r="E13">
        <v>0</v>
      </c>
    </row>
    <row r="14" spans="1:5">
      <c r="A14" t="str">
        <f xml:space="preserve"> "1.01.03.02"</f>
        <v>1.01.03.02</v>
      </c>
      <c r="B14" t="s">
        <v>17</v>
      </c>
      <c r="C14">
        <v>0</v>
      </c>
      <c r="D14">
        <v>0</v>
      </c>
      <c r="E14">
        <v>0</v>
      </c>
    </row>
    <row r="15" spans="1:5">
      <c r="A15" t="str">
        <f xml:space="preserve"> "1.01.04"</f>
        <v>1.01.04</v>
      </c>
      <c r="B15" t="s">
        <v>18</v>
      </c>
      <c r="C15">
        <v>0</v>
      </c>
      <c r="D15">
        <v>0</v>
      </c>
      <c r="E15">
        <v>0</v>
      </c>
    </row>
    <row r="16" spans="1:5">
      <c r="A16" t="str">
        <f xml:space="preserve"> "1.01.05"</f>
        <v>1.01.05</v>
      </c>
      <c r="B16" t="s">
        <v>19</v>
      </c>
      <c r="C16">
        <v>0</v>
      </c>
      <c r="D16">
        <v>0</v>
      </c>
      <c r="E16">
        <v>0</v>
      </c>
    </row>
    <row r="17" spans="1:5">
      <c r="A17" t="str">
        <f xml:space="preserve"> "1.01.06"</f>
        <v>1.01.06</v>
      </c>
      <c r="B17" t="s">
        <v>20</v>
      </c>
      <c r="C17">
        <v>0</v>
      </c>
      <c r="D17">
        <v>0</v>
      </c>
      <c r="E17">
        <v>0</v>
      </c>
    </row>
    <row r="18" spans="1:5">
      <c r="A18" t="str">
        <f xml:space="preserve"> "1.01.06.01"</f>
        <v>1.01.06.01</v>
      </c>
      <c r="B18" t="s">
        <v>21</v>
      </c>
      <c r="C18">
        <v>0</v>
      </c>
      <c r="D18">
        <v>0</v>
      </c>
      <c r="E18">
        <v>0</v>
      </c>
    </row>
    <row r="19" spans="1:5">
      <c r="A19" t="str">
        <f xml:space="preserve"> "1.01.07"</f>
        <v>1.01.07</v>
      </c>
      <c r="B19" t="s">
        <v>22</v>
      </c>
      <c r="C19">
        <v>0</v>
      </c>
      <c r="D19">
        <v>0</v>
      </c>
      <c r="E19">
        <v>0</v>
      </c>
    </row>
    <row r="20" spans="1:5">
      <c r="A20" t="str">
        <f xml:space="preserve"> "1.01.08"</f>
        <v>1.01.08</v>
      </c>
      <c r="B20" t="s">
        <v>23</v>
      </c>
      <c r="C20">
        <v>0</v>
      </c>
      <c r="D20">
        <v>0</v>
      </c>
      <c r="E20">
        <v>0</v>
      </c>
    </row>
    <row r="21" spans="1:5">
      <c r="A21" t="str">
        <f xml:space="preserve"> "1.01.08.01"</f>
        <v>1.01.08.01</v>
      </c>
      <c r="B21" t="s">
        <v>24</v>
      </c>
      <c r="C21">
        <v>0</v>
      </c>
      <c r="D21">
        <v>0</v>
      </c>
      <c r="E21">
        <v>0</v>
      </c>
    </row>
    <row r="22" spans="1:5">
      <c r="A22" t="str">
        <f xml:space="preserve"> "1.01.08.02"</f>
        <v>1.01.08.02</v>
      </c>
      <c r="B22" t="s">
        <v>25</v>
      </c>
      <c r="C22">
        <v>0</v>
      </c>
      <c r="D22">
        <v>0</v>
      </c>
      <c r="E22">
        <v>0</v>
      </c>
    </row>
    <row r="23" spans="1:5">
      <c r="A23" t="str">
        <f xml:space="preserve"> "1.01.08.03"</f>
        <v>1.01.08.03</v>
      </c>
      <c r="B23" t="s">
        <v>26</v>
      </c>
      <c r="C23">
        <v>0</v>
      </c>
      <c r="D23">
        <v>0</v>
      </c>
      <c r="E23">
        <v>0</v>
      </c>
    </row>
    <row r="24" spans="1:5">
      <c r="A24" t="str">
        <f xml:space="preserve"> "1.02"</f>
        <v>1.02</v>
      </c>
      <c r="B24" t="s">
        <v>27</v>
      </c>
      <c r="C24">
        <v>0</v>
      </c>
      <c r="D24">
        <v>0</v>
      </c>
      <c r="E24">
        <v>0</v>
      </c>
    </row>
    <row r="25" spans="1:5">
      <c r="A25" t="str">
        <f xml:space="preserve"> "1.02.01"</f>
        <v>1.02.01</v>
      </c>
      <c r="B25" t="s">
        <v>28</v>
      </c>
      <c r="C25">
        <v>0</v>
      </c>
      <c r="D25">
        <v>0</v>
      </c>
      <c r="E25">
        <v>0</v>
      </c>
    </row>
    <row r="26" spans="1:5">
      <c r="A26" t="str">
        <f xml:space="preserve"> "1.02.01.01"</f>
        <v>1.02.01.01</v>
      </c>
      <c r="B26" t="s">
        <v>10</v>
      </c>
      <c r="C26">
        <v>0</v>
      </c>
      <c r="D26">
        <v>0</v>
      </c>
      <c r="E26">
        <v>0</v>
      </c>
    </row>
    <row r="27" spans="1:5">
      <c r="A27" t="str">
        <f xml:space="preserve"> "1.02.01.01.01"</f>
        <v>1.02.01.01.01</v>
      </c>
      <c r="B27" t="s">
        <v>11</v>
      </c>
      <c r="C27">
        <v>0</v>
      </c>
      <c r="D27">
        <v>0</v>
      </c>
      <c r="E27">
        <v>0</v>
      </c>
    </row>
    <row r="28" spans="1:5">
      <c r="A28" t="str">
        <f xml:space="preserve"> "1.02.01.01.02"</f>
        <v>1.02.01.01.02</v>
      </c>
      <c r="B28" t="s">
        <v>12</v>
      </c>
      <c r="C28">
        <v>0</v>
      </c>
      <c r="D28">
        <v>0</v>
      </c>
      <c r="E28">
        <v>0</v>
      </c>
    </row>
    <row r="29" spans="1:5">
      <c r="A29" t="str">
        <f xml:space="preserve"> "1.02.01.02"</f>
        <v>1.02.01.02</v>
      </c>
      <c r="B29" t="s">
        <v>13</v>
      </c>
      <c r="C29">
        <v>0</v>
      </c>
      <c r="D29">
        <v>0</v>
      </c>
      <c r="E29">
        <v>0</v>
      </c>
    </row>
    <row r="30" spans="1:5">
      <c r="A30" t="str">
        <f xml:space="preserve"> "1.02.01.02.01"</f>
        <v>1.02.01.02.01</v>
      </c>
      <c r="B30" t="s">
        <v>14</v>
      </c>
      <c r="C30">
        <v>0</v>
      </c>
      <c r="D30">
        <v>0</v>
      </c>
      <c r="E30">
        <v>0</v>
      </c>
    </row>
    <row r="31" spans="1:5">
      <c r="A31" t="str">
        <f xml:space="preserve"> "1.02.01.03"</f>
        <v>1.02.01.03</v>
      </c>
      <c r="B31" t="s">
        <v>15</v>
      </c>
      <c r="C31">
        <v>0</v>
      </c>
      <c r="D31">
        <v>0</v>
      </c>
      <c r="E31">
        <v>0</v>
      </c>
    </row>
    <row r="32" spans="1:5">
      <c r="A32" t="str">
        <f xml:space="preserve"> "1.02.01.03.01"</f>
        <v>1.02.01.03.01</v>
      </c>
      <c r="B32" t="s">
        <v>16</v>
      </c>
      <c r="C32">
        <v>0</v>
      </c>
      <c r="D32">
        <v>0</v>
      </c>
      <c r="E32">
        <v>0</v>
      </c>
    </row>
    <row r="33" spans="1:5">
      <c r="A33" t="str">
        <f xml:space="preserve"> "1.02.01.03.02"</f>
        <v>1.02.01.03.02</v>
      </c>
      <c r="B33" t="s">
        <v>17</v>
      </c>
      <c r="C33">
        <v>0</v>
      </c>
      <c r="D33">
        <v>0</v>
      </c>
      <c r="E33">
        <v>0</v>
      </c>
    </row>
    <row r="34" spans="1:5">
      <c r="A34" t="str">
        <f xml:space="preserve"> "1.02.01.04"</f>
        <v>1.02.01.04</v>
      </c>
      <c r="B34" t="s">
        <v>18</v>
      </c>
      <c r="C34">
        <v>0</v>
      </c>
      <c r="D34">
        <v>0</v>
      </c>
      <c r="E34">
        <v>0</v>
      </c>
    </row>
    <row r="35" spans="1:5">
      <c r="A35" t="str">
        <f xml:space="preserve"> "1.02.01.05"</f>
        <v>1.02.01.05</v>
      </c>
      <c r="B35" t="s">
        <v>19</v>
      </c>
      <c r="C35">
        <v>0</v>
      </c>
      <c r="D35">
        <v>0</v>
      </c>
      <c r="E35">
        <v>0</v>
      </c>
    </row>
    <row r="36" spans="1:5">
      <c r="A36" t="str">
        <f xml:space="preserve"> "1.02.01.06"</f>
        <v>1.02.01.06</v>
      </c>
      <c r="B36" t="s">
        <v>29</v>
      </c>
      <c r="C36">
        <v>0</v>
      </c>
      <c r="D36">
        <v>0</v>
      </c>
      <c r="E36">
        <v>0</v>
      </c>
    </row>
    <row r="37" spans="1:5">
      <c r="A37" t="str">
        <f xml:space="preserve"> "1.02.01.06.01"</f>
        <v>1.02.01.06.01</v>
      </c>
      <c r="B37" t="s">
        <v>30</v>
      </c>
      <c r="C37">
        <v>0</v>
      </c>
      <c r="D37">
        <v>0</v>
      </c>
      <c r="E37">
        <v>0</v>
      </c>
    </row>
    <row r="38" spans="1:5">
      <c r="A38" t="str">
        <f xml:space="preserve"> "1.02.01.07"</f>
        <v>1.02.01.07</v>
      </c>
      <c r="B38" t="s">
        <v>22</v>
      </c>
      <c r="C38">
        <v>0</v>
      </c>
      <c r="D38">
        <v>0</v>
      </c>
      <c r="E38">
        <v>0</v>
      </c>
    </row>
    <row r="39" spans="1:5">
      <c r="A39" t="str">
        <f xml:space="preserve"> "1.02.01.08"</f>
        <v>1.02.01.08</v>
      </c>
      <c r="B39" t="s">
        <v>31</v>
      </c>
      <c r="C39">
        <v>0</v>
      </c>
      <c r="D39">
        <v>0</v>
      </c>
      <c r="E39">
        <v>0</v>
      </c>
    </row>
    <row r="40" spans="1:5">
      <c r="A40" t="str">
        <f xml:space="preserve"> "1.02.01.08.01"</f>
        <v>1.02.01.08.01</v>
      </c>
      <c r="B40" t="s">
        <v>32</v>
      </c>
      <c r="C40">
        <v>0</v>
      </c>
      <c r="D40">
        <v>0</v>
      </c>
      <c r="E40">
        <v>0</v>
      </c>
    </row>
    <row r="41" spans="1:5">
      <c r="A41" t="str">
        <f xml:space="preserve"> "1.02.01.08.03"</f>
        <v>1.02.01.08.03</v>
      </c>
      <c r="B41" t="s">
        <v>34</v>
      </c>
      <c r="C41">
        <v>0</v>
      </c>
      <c r="D41">
        <v>0</v>
      </c>
      <c r="E41">
        <v>0</v>
      </c>
    </row>
    <row r="42" spans="1:5">
      <c r="A42" t="str">
        <f xml:space="preserve"> "1.02.01.08.04"</f>
        <v>1.02.01.08.04</v>
      </c>
      <c r="B42" t="s">
        <v>35</v>
      </c>
      <c r="C42">
        <v>0</v>
      </c>
      <c r="D42">
        <v>0</v>
      </c>
      <c r="E42">
        <v>0</v>
      </c>
    </row>
    <row r="43" spans="1:5">
      <c r="A43" t="str">
        <f xml:space="preserve"> "1.02.01.09"</f>
        <v>1.02.01.09</v>
      </c>
      <c r="B43" t="s">
        <v>36</v>
      </c>
      <c r="C43">
        <v>0</v>
      </c>
      <c r="D43">
        <v>0</v>
      </c>
      <c r="E43">
        <v>0</v>
      </c>
    </row>
    <row r="44" spans="1:5">
      <c r="A44" t="str">
        <f xml:space="preserve"> "1.02.01.09.01"</f>
        <v>1.02.01.09.01</v>
      </c>
      <c r="B44" t="s">
        <v>24</v>
      </c>
      <c r="C44">
        <v>0</v>
      </c>
      <c r="D44">
        <v>0</v>
      </c>
      <c r="E44">
        <v>0</v>
      </c>
    </row>
    <row r="45" spans="1:5">
      <c r="A45" t="str">
        <f xml:space="preserve"> "1.02.01.09.02"</f>
        <v>1.02.01.09.02</v>
      </c>
      <c r="B45" t="s">
        <v>25</v>
      </c>
      <c r="C45">
        <v>0</v>
      </c>
      <c r="D45">
        <v>0</v>
      </c>
      <c r="E45">
        <v>0</v>
      </c>
    </row>
    <row r="46" spans="1:5">
      <c r="A46" t="str">
        <f xml:space="preserve"> "1.02.02"</f>
        <v>1.02.02</v>
      </c>
      <c r="B46" t="s">
        <v>37</v>
      </c>
      <c r="C46">
        <v>0</v>
      </c>
      <c r="D46">
        <v>0</v>
      </c>
      <c r="E46">
        <v>0</v>
      </c>
    </row>
    <row r="47" spans="1:5">
      <c r="A47" t="str">
        <f xml:space="preserve"> "1.02.02.01"</f>
        <v>1.02.02.01</v>
      </c>
      <c r="B47" t="s">
        <v>38</v>
      </c>
      <c r="C47">
        <v>0</v>
      </c>
      <c r="D47">
        <v>0</v>
      </c>
      <c r="E47">
        <v>0</v>
      </c>
    </row>
    <row r="48" spans="1:5">
      <c r="A48" t="str">
        <f xml:space="preserve"> "1.02.02.01.01"</f>
        <v>1.02.02.01.01</v>
      </c>
      <c r="B48" t="s">
        <v>39</v>
      </c>
      <c r="C48">
        <v>0</v>
      </c>
      <c r="D48">
        <v>0</v>
      </c>
      <c r="E48">
        <v>0</v>
      </c>
    </row>
    <row r="49" spans="1:5">
      <c r="A49" t="str">
        <f xml:space="preserve"> "1.02.02.01.04"</f>
        <v>1.02.02.01.04</v>
      </c>
      <c r="B49" t="s">
        <v>42</v>
      </c>
      <c r="C49">
        <v>0</v>
      </c>
      <c r="D49">
        <v>0</v>
      </c>
      <c r="E49">
        <v>0</v>
      </c>
    </row>
    <row r="50" spans="1:5">
      <c r="A50" t="str">
        <f xml:space="preserve"> "1.02.02.02"</f>
        <v>1.02.02.02</v>
      </c>
      <c r="B50" t="s">
        <v>43</v>
      </c>
      <c r="C50">
        <v>0</v>
      </c>
      <c r="D50">
        <v>0</v>
      </c>
      <c r="E50">
        <v>0</v>
      </c>
    </row>
    <row r="51" spans="1:5">
      <c r="A51" t="str">
        <f xml:space="preserve"> "1.02.03"</f>
        <v>1.02.03</v>
      </c>
      <c r="B51" t="s">
        <v>44</v>
      </c>
      <c r="C51">
        <v>0</v>
      </c>
      <c r="D51">
        <v>0</v>
      </c>
      <c r="E51">
        <v>0</v>
      </c>
    </row>
    <row r="52" spans="1:5">
      <c r="A52" t="str">
        <f xml:space="preserve"> "1.02.03.01"</f>
        <v>1.02.03.01</v>
      </c>
      <c r="B52" t="s">
        <v>45</v>
      </c>
      <c r="C52">
        <v>0</v>
      </c>
      <c r="D52">
        <v>0</v>
      </c>
      <c r="E52">
        <v>0</v>
      </c>
    </row>
    <row r="53" spans="1:5">
      <c r="A53" t="str">
        <f xml:space="preserve"> "1.02.03.02"</f>
        <v>1.02.03.02</v>
      </c>
      <c r="B53" t="s">
        <v>46</v>
      </c>
      <c r="C53">
        <v>0</v>
      </c>
      <c r="D53">
        <v>0</v>
      </c>
      <c r="E53">
        <v>0</v>
      </c>
    </row>
    <row r="54" spans="1:5">
      <c r="A54" t="str">
        <f xml:space="preserve"> "1.02.03.03"</f>
        <v>1.02.03.03</v>
      </c>
      <c r="B54" t="s">
        <v>47</v>
      </c>
      <c r="C54">
        <v>0</v>
      </c>
      <c r="D54">
        <v>0</v>
      </c>
      <c r="E54">
        <v>0</v>
      </c>
    </row>
    <row r="55" spans="1:5">
      <c r="A55" t="str">
        <f xml:space="preserve"> "1.02.04"</f>
        <v>1.02.04</v>
      </c>
      <c r="B55" t="s">
        <v>48</v>
      </c>
      <c r="C55">
        <v>0</v>
      </c>
      <c r="D55">
        <v>0</v>
      </c>
      <c r="E55">
        <v>0</v>
      </c>
    </row>
    <row r="56" spans="1:5">
      <c r="A56" t="str">
        <f xml:space="preserve"> "1.02.04.01"</f>
        <v>1.02.04.01</v>
      </c>
      <c r="B56" t="s">
        <v>49</v>
      </c>
      <c r="C56">
        <v>0</v>
      </c>
      <c r="D56">
        <v>0</v>
      </c>
      <c r="E56">
        <v>0</v>
      </c>
    </row>
    <row r="57" spans="1:5">
      <c r="A57" t="str">
        <f xml:space="preserve"> "1.02.04.01.01"</f>
        <v>1.02.04.01.01</v>
      </c>
      <c r="B57" t="s">
        <v>50</v>
      </c>
      <c r="C57">
        <v>0</v>
      </c>
      <c r="D57">
        <v>0</v>
      </c>
      <c r="E57">
        <v>0</v>
      </c>
    </row>
    <row r="58" spans="1:5">
      <c r="A58" t="str">
        <f xml:space="preserve"> "1.02.04.02"</f>
        <v>1.02.04.02</v>
      </c>
      <c r="B58" t="s">
        <v>217</v>
      </c>
      <c r="C58">
        <v>0</v>
      </c>
      <c r="D58">
        <v>0</v>
      </c>
      <c r="E58">
        <v>0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2"/>
  <sheetViews>
    <sheetView workbookViewId="0"/>
  </sheetViews>
  <sheetFormatPr defaultRowHeight="15"/>
  <cols>
    <col min="1" max="1" width="15.42578125" bestFit="1" customWidth="1"/>
    <col min="2" max="2" width="58.7109375" bestFit="1" customWidth="1"/>
    <col min="3" max="3" width="25.85546875" bestFit="1" customWidth="1"/>
    <col min="4" max="4" width="29.140625" bestFit="1" customWidth="1"/>
    <col min="5" max="5" width="33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tr">
        <f xml:space="preserve"> "2"</f>
        <v>2</v>
      </c>
      <c r="B3" t="s">
        <v>52</v>
      </c>
      <c r="C3">
        <v>1</v>
      </c>
      <c r="D3">
        <v>0</v>
      </c>
      <c r="E3">
        <v>0</v>
      </c>
    </row>
    <row r="4" spans="1:5">
      <c r="A4" t="str">
        <f xml:space="preserve"> "2.01"</f>
        <v>2.01</v>
      </c>
      <c r="B4" t="s">
        <v>53</v>
      </c>
      <c r="C4">
        <v>0</v>
      </c>
      <c r="D4">
        <v>0</v>
      </c>
      <c r="E4">
        <v>0</v>
      </c>
    </row>
    <row r="5" spans="1:5">
      <c r="A5" t="str">
        <f xml:space="preserve"> "2.01.01"</f>
        <v>2.01.01</v>
      </c>
      <c r="B5" t="s">
        <v>54</v>
      </c>
      <c r="C5">
        <v>0</v>
      </c>
      <c r="D5">
        <v>0</v>
      </c>
      <c r="E5">
        <v>0</v>
      </c>
    </row>
    <row r="6" spans="1:5">
      <c r="A6" t="str">
        <f xml:space="preserve"> "2.01.01.01"</f>
        <v>2.01.01.01</v>
      </c>
      <c r="B6" t="s">
        <v>55</v>
      </c>
      <c r="C6">
        <v>0</v>
      </c>
      <c r="D6">
        <v>0</v>
      </c>
      <c r="E6">
        <v>0</v>
      </c>
    </row>
    <row r="7" spans="1:5">
      <c r="A7" t="str">
        <f xml:space="preserve"> "2.01.01.02"</f>
        <v>2.01.01.02</v>
      </c>
      <c r="B7" t="s">
        <v>56</v>
      </c>
      <c r="C7">
        <v>0</v>
      </c>
      <c r="D7">
        <v>0</v>
      </c>
      <c r="E7">
        <v>0</v>
      </c>
    </row>
    <row r="8" spans="1:5">
      <c r="A8" t="str">
        <f xml:space="preserve"> "2.01.02"</f>
        <v>2.01.02</v>
      </c>
      <c r="B8" t="s">
        <v>57</v>
      </c>
      <c r="C8">
        <v>0</v>
      </c>
      <c r="D8">
        <v>0</v>
      </c>
      <c r="E8">
        <v>0</v>
      </c>
    </row>
    <row r="9" spans="1:5">
      <c r="A9" t="str">
        <f xml:space="preserve"> "2.01.02.01"</f>
        <v>2.01.02.01</v>
      </c>
      <c r="B9" t="s">
        <v>58</v>
      </c>
      <c r="C9">
        <v>0</v>
      </c>
      <c r="D9">
        <v>0</v>
      </c>
      <c r="E9">
        <v>0</v>
      </c>
    </row>
    <row r="10" spans="1:5">
      <c r="A10" t="str">
        <f xml:space="preserve"> "2.01.02.02"</f>
        <v>2.01.02.02</v>
      </c>
      <c r="B10" t="s">
        <v>59</v>
      </c>
      <c r="C10">
        <v>0</v>
      </c>
      <c r="D10">
        <v>0</v>
      </c>
      <c r="E10">
        <v>0</v>
      </c>
    </row>
    <row r="11" spans="1:5">
      <c r="A11" t="str">
        <f xml:space="preserve"> "2.01.03"</f>
        <v>2.01.03</v>
      </c>
      <c r="B11" t="s">
        <v>60</v>
      </c>
      <c r="C11">
        <v>0</v>
      </c>
      <c r="D11">
        <v>0</v>
      </c>
      <c r="E11">
        <v>0</v>
      </c>
    </row>
    <row r="12" spans="1:5">
      <c r="A12" t="str">
        <f xml:space="preserve"> "2.01.03.01"</f>
        <v>2.01.03.01</v>
      </c>
      <c r="B12" t="s">
        <v>61</v>
      </c>
      <c r="C12">
        <v>0</v>
      </c>
      <c r="D12">
        <v>0</v>
      </c>
      <c r="E12">
        <v>0</v>
      </c>
    </row>
    <row r="13" spans="1:5">
      <c r="A13" t="str">
        <f xml:space="preserve"> "2.01.03.01.01"</f>
        <v>2.01.03.01.01</v>
      </c>
      <c r="B13" t="s">
        <v>62</v>
      </c>
      <c r="C13">
        <v>0</v>
      </c>
      <c r="D13">
        <v>0</v>
      </c>
      <c r="E13">
        <v>0</v>
      </c>
    </row>
    <row r="14" spans="1:5">
      <c r="A14" t="str">
        <f xml:space="preserve"> "2.01.03.02"</f>
        <v>2.01.03.02</v>
      </c>
      <c r="B14" t="s">
        <v>63</v>
      </c>
      <c r="C14">
        <v>0</v>
      </c>
      <c r="D14">
        <v>0</v>
      </c>
      <c r="E14">
        <v>0</v>
      </c>
    </row>
    <row r="15" spans="1:5">
      <c r="A15" t="str">
        <f xml:space="preserve"> "2.01.03.03"</f>
        <v>2.01.03.03</v>
      </c>
      <c r="B15" t="s">
        <v>64</v>
      </c>
      <c r="C15">
        <v>0</v>
      </c>
      <c r="D15">
        <v>0</v>
      </c>
      <c r="E15">
        <v>0</v>
      </c>
    </row>
    <row r="16" spans="1:5">
      <c r="A16" t="str">
        <f xml:space="preserve"> "2.01.04"</f>
        <v>2.01.04</v>
      </c>
      <c r="B16" t="s">
        <v>65</v>
      </c>
      <c r="C16">
        <v>0</v>
      </c>
      <c r="D16">
        <v>0</v>
      </c>
      <c r="E16">
        <v>0</v>
      </c>
    </row>
    <row r="17" spans="1:5">
      <c r="A17" t="str">
        <f xml:space="preserve"> "2.01.04.01"</f>
        <v>2.01.04.01</v>
      </c>
      <c r="B17" t="s">
        <v>65</v>
      </c>
      <c r="C17">
        <v>0</v>
      </c>
      <c r="D17">
        <v>0</v>
      </c>
      <c r="E17">
        <v>0</v>
      </c>
    </row>
    <row r="18" spans="1:5">
      <c r="A18" t="str">
        <f xml:space="preserve"> "2.01.04.01.01"</f>
        <v>2.01.04.01.01</v>
      </c>
      <c r="B18" t="s">
        <v>66</v>
      </c>
      <c r="C18">
        <v>0</v>
      </c>
      <c r="D18">
        <v>0</v>
      </c>
      <c r="E18">
        <v>0</v>
      </c>
    </row>
    <row r="19" spans="1:5">
      <c r="A19" t="str">
        <f xml:space="preserve"> "2.01.04.01.02"</f>
        <v>2.01.04.01.02</v>
      </c>
      <c r="B19" t="s">
        <v>67</v>
      </c>
      <c r="C19">
        <v>0</v>
      </c>
      <c r="D19">
        <v>0</v>
      </c>
      <c r="E19">
        <v>0</v>
      </c>
    </row>
    <row r="20" spans="1:5">
      <c r="A20" t="str">
        <f xml:space="preserve"> "2.01.04.02"</f>
        <v>2.01.04.02</v>
      </c>
      <c r="B20" t="s">
        <v>68</v>
      </c>
      <c r="C20">
        <v>0</v>
      </c>
      <c r="D20">
        <v>0</v>
      </c>
      <c r="E20">
        <v>0</v>
      </c>
    </row>
    <row r="21" spans="1:5">
      <c r="A21" t="str">
        <f xml:space="preserve"> "2.01.04.03"</f>
        <v>2.01.04.03</v>
      </c>
      <c r="B21" t="s">
        <v>69</v>
      </c>
      <c r="C21">
        <v>0</v>
      </c>
      <c r="D21">
        <v>0</v>
      </c>
      <c r="E21">
        <v>0</v>
      </c>
    </row>
    <row r="22" spans="1:5">
      <c r="A22" t="str">
        <f xml:space="preserve"> "2.01.05"</f>
        <v>2.01.05</v>
      </c>
      <c r="B22" t="s">
        <v>70</v>
      </c>
      <c r="C22">
        <v>0</v>
      </c>
      <c r="D22">
        <v>0</v>
      </c>
      <c r="E22">
        <v>0</v>
      </c>
    </row>
    <row r="23" spans="1:5">
      <c r="A23" t="str">
        <f xml:space="preserve"> "2.01.05.01"</f>
        <v>2.01.05.01</v>
      </c>
      <c r="B23" t="s">
        <v>71</v>
      </c>
      <c r="C23">
        <v>0</v>
      </c>
      <c r="D23">
        <v>0</v>
      </c>
      <c r="E23">
        <v>0</v>
      </c>
    </row>
    <row r="24" spans="1:5">
      <c r="A24" t="str">
        <f xml:space="preserve"> "2.01.05.01.01"</f>
        <v>2.01.05.01.01</v>
      </c>
      <c r="B24" t="s">
        <v>72</v>
      </c>
      <c r="C24">
        <v>0</v>
      </c>
      <c r="D24">
        <v>0</v>
      </c>
      <c r="E24">
        <v>0</v>
      </c>
    </row>
    <row r="25" spans="1:5">
      <c r="A25" t="str">
        <f xml:space="preserve"> "2.01.05.01.03"</f>
        <v>2.01.05.01.03</v>
      </c>
      <c r="B25" t="s">
        <v>74</v>
      </c>
      <c r="C25">
        <v>0</v>
      </c>
      <c r="D25">
        <v>0</v>
      </c>
      <c r="E25">
        <v>0</v>
      </c>
    </row>
    <row r="26" spans="1:5">
      <c r="A26" t="str">
        <f xml:space="preserve"> "2.01.05.01.04"</f>
        <v>2.01.05.01.04</v>
      </c>
      <c r="B26" t="s">
        <v>75</v>
      </c>
      <c r="C26">
        <v>0</v>
      </c>
      <c r="D26">
        <v>0</v>
      </c>
      <c r="E26">
        <v>0</v>
      </c>
    </row>
    <row r="27" spans="1:5">
      <c r="A27" t="str">
        <f xml:space="preserve"> "2.01.05.02"</f>
        <v>2.01.05.02</v>
      </c>
      <c r="B27" t="s">
        <v>26</v>
      </c>
      <c r="C27">
        <v>0</v>
      </c>
      <c r="D27">
        <v>0</v>
      </c>
      <c r="E27">
        <v>0</v>
      </c>
    </row>
    <row r="28" spans="1:5">
      <c r="A28" t="str">
        <f xml:space="preserve"> "2.01.05.02.01"</f>
        <v>2.01.05.02.01</v>
      </c>
      <c r="B28" t="s">
        <v>76</v>
      </c>
      <c r="C28">
        <v>0</v>
      </c>
      <c r="D28">
        <v>0</v>
      </c>
      <c r="E28">
        <v>0</v>
      </c>
    </row>
    <row r="29" spans="1:5">
      <c r="A29" t="str">
        <f xml:space="preserve"> "2.01.05.02.02"</f>
        <v>2.01.05.02.02</v>
      </c>
      <c r="B29" t="s">
        <v>77</v>
      </c>
      <c r="C29">
        <v>0</v>
      </c>
      <c r="D29">
        <v>0</v>
      </c>
      <c r="E29">
        <v>0</v>
      </c>
    </row>
    <row r="30" spans="1:5">
      <c r="A30" t="str">
        <f xml:space="preserve"> "2.01.05.02.03"</f>
        <v>2.01.05.02.03</v>
      </c>
      <c r="B30" t="s">
        <v>78</v>
      </c>
      <c r="C30">
        <v>0</v>
      </c>
      <c r="D30">
        <v>0</v>
      </c>
      <c r="E30">
        <v>0</v>
      </c>
    </row>
    <row r="31" spans="1:5">
      <c r="A31" t="str">
        <f xml:space="preserve"> "2.01.06"</f>
        <v>2.01.06</v>
      </c>
      <c r="B31" t="s">
        <v>79</v>
      </c>
      <c r="C31">
        <v>0</v>
      </c>
      <c r="D31">
        <v>0</v>
      </c>
      <c r="E31">
        <v>0</v>
      </c>
    </row>
    <row r="32" spans="1:5">
      <c r="A32" t="str">
        <f xml:space="preserve"> "2.01.06.01"</f>
        <v>2.01.06.01</v>
      </c>
      <c r="B32" t="s">
        <v>80</v>
      </c>
      <c r="C32">
        <v>0</v>
      </c>
      <c r="D32">
        <v>0</v>
      </c>
      <c r="E32">
        <v>0</v>
      </c>
    </row>
    <row r="33" spans="1:5">
      <c r="A33" t="str">
        <f xml:space="preserve"> "2.01.06.01.01"</f>
        <v>2.01.06.01.01</v>
      </c>
      <c r="B33" t="s">
        <v>81</v>
      </c>
      <c r="C33">
        <v>0</v>
      </c>
      <c r="D33">
        <v>0</v>
      </c>
      <c r="E33">
        <v>0</v>
      </c>
    </row>
    <row r="34" spans="1:5">
      <c r="A34" t="str">
        <f xml:space="preserve"> "2.01.06.01.02"</f>
        <v>2.01.06.01.02</v>
      </c>
      <c r="B34" t="s">
        <v>82</v>
      </c>
      <c r="C34">
        <v>0</v>
      </c>
      <c r="D34">
        <v>0</v>
      </c>
      <c r="E34">
        <v>0</v>
      </c>
    </row>
    <row r="35" spans="1:5">
      <c r="A35" t="str">
        <f xml:space="preserve"> "2.01.06.01.03"</f>
        <v>2.01.06.01.03</v>
      </c>
      <c r="B35" t="s">
        <v>83</v>
      </c>
      <c r="C35">
        <v>0</v>
      </c>
      <c r="D35">
        <v>0</v>
      </c>
      <c r="E35">
        <v>0</v>
      </c>
    </row>
    <row r="36" spans="1:5">
      <c r="A36" t="str">
        <f xml:space="preserve"> "2.01.06.01.04"</f>
        <v>2.01.06.01.04</v>
      </c>
      <c r="B36" t="s">
        <v>84</v>
      </c>
      <c r="C36">
        <v>0</v>
      </c>
      <c r="D36">
        <v>0</v>
      </c>
      <c r="E36">
        <v>0</v>
      </c>
    </row>
    <row r="37" spans="1:5">
      <c r="A37" t="str">
        <f xml:space="preserve"> "2.01.06.02"</f>
        <v>2.01.06.02</v>
      </c>
      <c r="B37" t="s">
        <v>85</v>
      </c>
      <c r="C37">
        <v>0</v>
      </c>
      <c r="D37">
        <v>0</v>
      </c>
      <c r="E37">
        <v>0</v>
      </c>
    </row>
    <row r="38" spans="1:5">
      <c r="A38" t="str">
        <f xml:space="preserve"> "2.01.06.02.01"</f>
        <v>2.01.06.02.01</v>
      </c>
      <c r="B38" t="s">
        <v>86</v>
      </c>
      <c r="C38">
        <v>0</v>
      </c>
      <c r="D38">
        <v>0</v>
      </c>
      <c r="E38">
        <v>0</v>
      </c>
    </row>
    <row r="39" spans="1:5">
      <c r="A39" t="str">
        <f xml:space="preserve"> "2.01.06.02.02"</f>
        <v>2.01.06.02.02</v>
      </c>
      <c r="B39" t="s">
        <v>87</v>
      </c>
      <c r="C39">
        <v>0</v>
      </c>
      <c r="D39">
        <v>0</v>
      </c>
      <c r="E39">
        <v>0</v>
      </c>
    </row>
    <row r="40" spans="1:5">
      <c r="A40" t="str">
        <f xml:space="preserve"> "2.01.06.02.03"</f>
        <v>2.01.06.02.03</v>
      </c>
      <c r="B40" t="s">
        <v>88</v>
      </c>
      <c r="C40">
        <v>0</v>
      </c>
      <c r="D40">
        <v>0</v>
      </c>
      <c r="E40">
        <v>0</v>
      </c>
    </row>
    <row r="41" spans="1:5">
      <c r="A41" t="str">
        <f xml:space="preserve"> "2.01.07"</f>
        <v>2.01.07</v>
      </c>
      <c r="B41" t="s">
        <v>89</v>
      </c>
      <c r="C41">
        <v>0</v>
      </c>
      <c r="D41">
        <v>0</v>
      </c>
      <c r="E41">
        <v>0</v>
      </c>
    </row>
    <row r="42" spans="1:5">
      <c r="A42" t="str">
        <f xml:space="preserve"> "2.01.07.01"</f>
        <v>2.01.07.01</v>
      </c>
      <c r="B42" t="s">
        <v>90</v>
      </c>
      <c r="C42">
        <v>0</v>
      </c>
      <c r="D42">
        <v>0</v>
      </c>
      <c r="E42">
        <v>0</v>
      </c>
    </row>
    <row r="43" spans="1:5">
      <c r="A43" t="str">
        <f xml:space="preserve"> "2.01.07.02"</f>
        <v>2.01.07.02</v>
      </c>
      <c r="B43" t="s">
        <v>91</v>
      </c>
      <c r="C43">
        <v>0</v>
      </c>
      <c r="D43">
        <v>0</v>
      </c>
      <c r="E43">
        <v>0</v>
      </c>
    </row>
    <row r="44" spans="1:5">
      <c r="A44" t="str">
        <f xml:space="preserve"> "2.02"</f>
        <v>2.02</v>
      </c>
      <c r="B44" t="s">
        <v>92</v>
      </c>
      <c r="C44">
        <v>0</v>
      </c>
      <c r="D44">
        <v>0</v>
      </c>
      <c r="E44">
        <v>0</v>
      </c>
    </row>
    <row r="45" spans="1:5">
      <c r="A45" t="str">
        <f xml:space="preserve"> "2.02.01"</f>
        <v>2.02.01</v>
      </c>
      <c r="B45" t="s">
        <v>65</v>
      </c>
      <c r="C45">
        <v>0</v>
      </c>
      <c r="D45">
        <v>0</v>
      </c>
      <c r="E45">
        <v>0</v>
      </c>
    </row>
    <row r="46" spans="1:5">
      <c r="A46" t="str">
        <f xml:space="preserve"> "2.02.01.01"</f>
        <v>2.02.01.01</v>
      </c>
      <c r="B46" t="s">
        <v>65</v>
      </c>
      <c r="C46">
        <v>0</v>
      </c>
      <c r="D46">
        <v>0</v>
      </c>
      <c r="E46">
        <v>0</v>
      </c>
    </row>
    <row r="47" spans="1:5">
      <c r="A47" t="str">
        <f xml:space="preserve"> "2.02.01.01.01"</f>
        <v>2.02.01.01.01</v>
      </c>
      <c r="B47" t="s">
        <v>66</v>
      </c>
      <c r="C47">
        <v>0</v>
      </c>
      <c r="D47">
        <v>0</v>
      </c>
      <c r="E47">
        <v>0</v>
      </c>
    </row>
    <row r="48" spans="1:5">
      <c r="A48" t="str">
        <f xml:space="preserve"> "2.02.01.01.02"</f>
        <v>2.02.01.01.02</v>
      </c>
      <c r="B48" t="s">
        <v>67</v>
      </c>
      <c r="C48">
        <v>0</v>
      </c>
      <c r="D48">
        <v>0</v>
      </c>
      <c r="E48">
        <v>0</v>
      </c>
    </row>
    <row r="49" spans="1:5">
      <c r="A49" t="str">
        <f xml:space="preserve"> "2.02.01.02"</f>
        <v>2.02.01.02</v>
      </c>
      <c r="B49" t="s">
        <v>68</v>
      </c>
      <c r="C49">
        <v>0</v>
      </c>
      <c r="D49">
        <v>0</v>
      </c>
      <c r="E49">
        <v>0</v>
      </c>
    </row>
    <row r="50" spans="1:5">
      <c r="A50" t="str">
        <f xml:space="preserve"> "2.02.01.03"</f>
        <v>2.02.01.03</v>
      </c>
      <c r="B50" t="s">
        <v>69</v>
      </c>
      <c r="C50">
        <v>0</v>
      </c>
      <c r="D50">
        <v>0</v>
      </c>
      <c r="E50">
        <v>0</v>
      </c>
    </row>
    <row r="51" spans="1:5">
      <c r="A51" t="str">
        <f xml:space="preserve"> "2.02.02"</f>
        <v>2.02.02</v>
      </c>
      <c r="B51" t="s">
        <v>70</v>
      </c>
      <c r="C51">
        <v>0</v>
      </c>
      <c r="D51">
        <v>0</v>
      </c>
      <c r="E51">
        <v>0</v>
      </c>
    </row>
    <row r="52" spans="1:5">
      <c r="A52" t="str">
        <f xml:space="preserve"> "2.02.02.01"</f>
        <v>2.02.02.01</v>
      </c>
      <c r="B52" t="s">
        <v>71</v>
      </c>
      <c r="C52">
        <v>0</v>
      </c>
      <c r="D52">
        <v>0</v>
      </c>
      <c r="E52">
        <v>0</v>
      </c>
    </row>
    <row r="53" spans="1:5">
      <c r="A53" t="str">
        <f xml:space="preserve"> "2.02.02.01.01"</f>
        <v>2.02.02.01.01</v>
      </c>
      <c r="B53" t="s">
        <v>72</v>
      </c>
      <c r="C53">
        <v>0</v>
      </c>
      <c r="D53">
        <v>0</v>
      </c>
      <c r="E53">
        <v>0</v>
      </c>
    </row>
    <row r="54" spans="1:5">
      <c r="A54" t="str">
        <f xml:space="preserve"> "2.02.02.01.03"</f>
        <v>2.02.02.01.03</v>
      </c>
      <c r="B54" t="s">
        <v>74</v>
      </c>
      <c r="C54">
        <v>0</v>
      </c>
      <c r="D54">
        <v>0</v>
      </c>
      <c r="E54">
        <v>0</v>
      </c>
    </row>
    <row r="55" spans="1:5">
      <c r="A55" t="str">
        <f xml:space="preserve"> "2.02.02.01.04"</f>
        <v>2.02.02.01.04</v>
      </c>
      <c r="B55" t="s">
        <v>75</v>
      </c>
      <c r="C55">
        <v>0</v>
      </c>
      <c r="D55">
        <v>0</v>
      </c>
      <c r="E55">
        <v>0</v>
      </c>
    </row>
    <row r="56" spans="1:5">
      <c r="A56" t="str">
        <f xml:space="preserve"> "2.02.02.02"</f>
        <v>2.02.02.02</v>
      </c>
      <c r="B56" t="s">
        <v>26</v>
      </c>
      <c r="C56">
        <v>0</v>
      </c>
      <c r="D56">
        <v>0</v>
      </c>
      <c r="E56">
        <v>0</v>
      </c>
    </row>
    <row r="57" spans="1:5">
      <c r="A57" t="str">
        <f xml:space="preserve"> "2.02.02.02.01"</f>
        <v>2.02.02.02.01</v>
      </c>
      <c r="B57" t="s">
        <v>78</v>
      </c>
      <c r="C57">
        <v>0</v>
      </c>
      <c r="D57">
        <v>0</v>
      </c>
      <c r="E57">
        <v>0</v>
      </c>
    </row>
    <row r="58" spans="1:5">
      <c r="A58" t="str">
        <f xml:space="preserve"> "2.02.02.02.02"</f>
        <v>2.02.02.02.02</v>
      </c>
      <c r="B58" t="s">
        <v>93</v>
      </c>
      <c r="C58">
        <v>0</v>
      </c>
      <c r="D58">
        <v>0</v>
      </c>
      <c r="E58">
        <v>0</v>
      </c>
    </row>
    <row r="59" spans="1:5">
      <c r="A59" t="str">
        <f xml:space="preserve"> "2.02.03"</f>
        <v>2.02.03</v>
      </c>
      <c r="B59" t="s">
        <v>29</v>
      </c>
      <c r="C59">
        <v>0</v>
      </c>
      <c r="D59">
        <v>0</v>
      </c>
      <c r="E59">
        <v>0</v>
      </c>
    </row>
    <row r="60" spans="1:5">
      <c r="A60" t="str">
        <f xml:space="preserve"> "2.02.03.01"</f>
        <v>2.02.03.01</v>
      </c>
      <c r="B60" t="s">
        <v>30</v>
      </c>
      <c r="C60">
        <v>0</v>
      </c>
      <c r="D60">
        <v>0</v>
      </c>
      <c r="E60">
        <v>0</v>
      </c>
    </row>
    <row r="61" spans="1:5">
      <c r="A61" t="str">
        <f xml:space="preserve"> "2.02.04"</f>
        <v>2.02.04</v>
      </c>
      <c r="B61" t="s">
        <v>79</v>
      </c>
      <c r="C61">
        <v>0</v>
      </c>
      <c r="D61">
        <v>0</v>
      </c>
      <c r="E61">
        <v>0</v>
      </c>
    </row>
    <row r="62" spans="1:5">
      <c r="A62" t="str">
        <f xml:space="preserve"> "2.02.04.01"</f>
        <v>2.02.04.01</v>
      </c>
      <c r="B62" t="s">
        <v>80</v>
      </c>
      <c r="C62">
        <v>0</v>
      </c>
      <c r="D62">
        <v>0</v>
      </c>
      <c r="E62">
        <v>0</v>
      </c>
    </row>
    <row r="63" spans="1:5">
      <c r="A63" t="str">
        <f xml:space="preserve"> "2.02.04.01.01"</f>
        <v>2.02.04.01.01</v>
      </c>
      <c r="B63" t="s">
        <v>81</v>
      </c>
      <c r="C63">
        <v>0</v>
      </c>
      <c r="D63">
        <v>0</v>
      </c>
      <c r="E63">
        <v>0</v>
      </c>
    </row>
    <row r="64" spans="1:5">
      <c r="A64" t="str">
        <f xml:space="preserve"> "2.02.04.01.02"</f>
        <v>2.02.04.01.02</v>
      </c>
      <c r="B64" t="s">
        <v>82</v>
      </c>
      <c r="C64">
        <v>0</v>
      </c>
      <c r="D64">
        <v>0</v>
      </c>
      <c r="E64">
        <v>0</v>
      </c>
    </row>
    <row r="65" spans="1:5">
      <c r="A65" t="str">
        <f xml:space="preserve"> "2.02.04.01.03"</f>
        <v>2.02.04.01.03</v>
      </c>
      <c r="B65" t="s">
        <v>83</v>
      </c>
      <c r="C65">
        <v>0</v>
      </c>
      <c r="D65">
        <v>0</v>
      </c>
      <c r="E65">
        <v>0</v>
      </c>
    </row>
    <row r="66" spans="1:5">
      <c r="A66" t="str">
        <f xml:space="preserve"> "2.02.04.01.04"</f>
        <v>2.02.04.01.04</v>
      </c>
      <c r="B66" t="s">
        <v>84</v>
      </c>
      <c r="C66">
        <v>0</v>
      </c>
      <c r="D66">
        <v>0</v>
      </c>
      <c r="E66">
        <v>0</v>
      </c>
    </row>
    <row r="67" spans="1:5">
      <c r="A67" t="str">
        <f xml:space="preserve"> "2.02.04.02"</f>
        <v>2.02.04.02</v>
      </c>
      <c r="B67" t="s">
        <v>85</v>
      </c>
      <c r="C67">
        <v>0</v>
      </c>
      <c r="D67">
        <v>0</v>
      </c>
      <c r="E67">
        <v>0</v>
      </c>
    </row>
    <row r="68" spans="1:5">
      <c r="A68" t="str">
        <f xml:space="preserve"> "2.02.04.02.01"</f>
        <v>2.02.04.02.01</v>
      </c>
      <c r="B68" t="s">
        <v>86</v>
      </c>
      <c r="C68">
        <v>0</v>
      </c>
      <c r="D68">
        <v>0</v>
      </c>
      <c r="E68">
        <v>0</v>
      </c>
    </row>
    <row r="69" spans="1:5">
      <c r="A69" t="str">
        <f xml:space="preserve"> "2.02.04.02.02"</f>
        <v>2.02.04.02.02</v>
      </c>
      <c r="B69" t="s">
        <v>87</v>
      </c>
      <c r="C69">
        <v>0</v>
      </c>
      <c r="D69">
        <v>0</v>
      </c>
      <c r="E69">
        <v>0</v>
      </c>
    </row>
    <row r="70" spans="1:5">
      <c r="A70" t="str">
        <f xml:space="preserve"> "2.02.04.02.03"</f>
        <v>2.02.04.02.03</v>
      </c>
      <c r="B70" t="s">
        <v>88</v>
      </c>
      <c r="C70">
        <v>0</v>
      </c>
      <c r="D70">
        <v>0</v>
      </c>
      <c r="E70">
        <v>0</v>
      </c>
    </row>
    <row r="71" spans="1:5">
      <c r="A71" t="str">
        <f xml:space="preserve"> "2.02.05"</f>
        <v>2.02.05</v>
      </c>
      <c r="B71" t="s">
        <v>89</v>
      </c>
      <c r="C71">
        <v>0</v>
      </c>
      <c r="D71">
        <v>0</v>
      </c>
      <c r="E71">
        <v>0</v>
      </c>
    </row>
    <row r="72" spans="1:5">
      <c r="A72" t="str">
        <f xml:space="preserve"> "2.02.05.01"</f>
        <v>2.02.05.01</v>
      </c>
      <c r="B72" t="s">
        <v>90</v>
      </c>
      <c r="C72">
        <v>0</v>
      </c>
      <c r="D72">
        <v>0</v>
      </c>
      <c r="E72">
        <v>0</v>
      </c>
    </row>
    <row r="73" spans="1:5">
      <c r="A73" t="str">
        <f xml:space="preserve"> "2.02.05.02"</f>
        <v>2.02.05.02</v>
      </c>
      <c r="B73" t="s">
        <v>91</v>
      </c>
      <c r="C73">
        <v>0</v>
      </c>
      <c r="D73">
        <v>0</v>
      </c>
      <c r="E73">
        <v>0</v>
      </c>
    </row>
    <row r="74" spans="1:5">
      <c r="A74" t="str">
        <f xml:space="preserve"> "2.02.06"</f>
        <v>2.02.06</v>
      </c>
      <c r="B74" t="s">
        <v>94</v>
      </c>
      <c r="C74">
        <v>0</v>
      </c>
      <c r="D74">
        <v>0</v>
      </c>
      <c r="E74">
        <v>0</v>
      </c>
    </row>
    <row r="75" spans="1:5">
      <c r="A75" t="str">
        <f xml:space="preserve"> "2.02.06.01"</f>
        <v>2.02.06.01</v>
      </c>
      <c r="B75" t="s">
        <v>95</v>
      </c>
      <c r="C75">
        <v>0</v>
      </c>
      <c r="D75">
        <v>0</v>
      </c>
      <c r="E75">
        <v>0</v>
      </c>
    </row>
    <row r="76" spans="1:5">
      <c r="A76" t="str">
        <f xml:space="preserve"> "2.02.06.02"</f>
        <v>2.02.06.02</v>
      </c>
      <c r="B76" t="s">
        <v>96</v>
      </c>
      <c r="C76">
        <v>0</v>
      </c>
      <c r="D76">
        <v>0</v>
      </c>
      <c r="E76">
        <v>0</v>
      </c>
    </row>
    <row r="77" spans="1:5">
      <c r="A77" t="str">
        <f xml:space="preserve"> "2.02.06.03"</f>
        <v>2.02.06.03</v>
      </c>
      <c r="B77" t="s">
        <v>97</v>
      </c>
      <c r="C77">
        <v>0</v>
      </c>
      <c r="D77">
        <v>0</v>
      </c>
      <c r="E77">
        <v>0</v>
      </c>
    </row>
    <row r="78" spans="1:5">
      <c r="A78" t="str">
        <f xml:space="preserve"> "2.03"</f>
        <v>2.03</v>
      </c>
      <c r="B78" t="s">
        <v>218</v>
      </c>
      <c r="C78">
        <v>0</v>
      </c>
      <c r="D78">
        <v>0</v>
      </c>
      <c r="E78">
        <v>0</v>
      </c>
    </row>
    <row r="79" spans="1:5">
      <c r="A79" t="str">
        <f xml:space="preserve"> "2.03.01"</f>
        <v>2.03.01</v>
      </c>
      <c r="B79" t="s">
        <v>99</v>
      </c>
      <c r="C79">
        <v>0</v>
      </c>
      <c r="D79">
        <v>0</v>
      </c>
      <c r="E79">
        <v>0</v>
      </c>
    </row>
    <row r="80" spans="1:5">
      <c r="A80" t="str">
        <f xml:space="preserve"> "2.03.02"</f>
        <v>2.03.02</v>
      </c>
      <c r="B80" t="s">
        <v>100</v>
      </c>
      <c r="C80">
        <v>0</v>
      </c>
      <c r="D80">
        <v>0</v>
      </c>
      <c r="E80">
        <v>0</v>
      </c>
    </row>
    <row r="81" spans="1:5">
      <c r="A81" t="str">
        <f xml:space="preserve"> "2.03.02.01"</f>
        <v>2.03.02.01</v>
      </c>
      <c r="B81" t="s">
        <v>101</v>
      </c>
      <c r="C81">
        <v>0</v>
      </c>
      <c r="D81">
        <v>0</v>
      </c>
      <c r="E81">
        <v>0</v>
      </c>
    </row>
    <row r="82" spans="1:5">
      <c r="A82" t="str">
        <f xml:space="preserve"> "2.03.02.02"</f>
        <v>2.03.02.02</v>
      </c>
      <c r="B82" t="s">
        <v>102</v>
      </c>
      <c r="C82">
        <v>0</v>
      </c>
      <c r="D82">
        <v>0</v>
      </c>
      <c r="E82">
        <v>0</v>
      </c>
    </row>
    <row r="83" spans="1:5">
      <c r="A83" t="str">
        <f xml:space="preserve"> "2.03.02.03"</f>
        <v>2.03.02.03</v>
      </c>
      <c r="B83" t="s">
        <v>103</v>
      </c>
      <c r="C83">
        <v>0</v>
      </c>
      <c r="D83">
        <v>0</v>
      </c>
      <c r="E83">
        <v>0</v>
      </c>
    </row>
    <row r="84" spans="1:5">
      <c r="A84" t="str">
        <f xml:space="preserve"> "2.03.02.04"</f>
        <v>2.03.02.04</v>
      </c>
      <c r="B84" t="s">
        <v>104</v>
      </c>
      <c r="C84">
        <v>0</v>
      </c>
      <c r="D84">
        <v>0</v>
      </c>
      <c r="E84">
        <v>0</v>
      </c>
    </row>
    <row r="85" spans="1:5">
      <c r="A85" t="str">
        <f xml:space="preserve"> "2.03.02.05"</f>
        <v>2.03.02.05</v>
      </c>
      <c r="B85" t="s">
        <v>105</v>
      </c>
      <c r="C85">
        <v>0</v>
      </c>
      <c r="D85">
        <v>0</v>
      </c>
      <c r="E85">
        <v>0</v>
      </c>
    </row>
    <row r="86" spans="1:5">
      <c r="A86" t="str">
        <f xml:space="preserve"> "2.03.02.06"</f>
        <v>2.03.02.06</v>
      </c>
      <c r="B86" t="s">
        <v>93</v>
      </c>
      <c r="C86">
        <v>0</v>
      </c>
      <c r="D86">
        <v>0</v>
      </c>
      <c r="E86">
        <v>0</v>
      </c>
    </row>
    <row r="87" spans="1:5">
      <c r="A87" t="str">
        <f xml:space="preserve"> "2.03.03"</f>
        <v>2.03.03</v>
      </c>
      <c r="B87" t="s">
        <v>106</v>
      </c>
      <c r="C87">
        <v>0</v>
      </c>
      <c r="D87">
        <v>0</v>
      </c>
      <c r="E87">
        <v>0</v>
      </c>
    </row>
    <row r="88" spans="1:5">
      <c r="A88" t="str">
        <f xml:space="preserve"> "2.03.04"</f>
        <v>2.03.04</v>
      </c>
      <c r="B88" t="s">
        <v>107</v>
      </c>
      <c r="C88">
        <v>0</v>
      </c>
      <c r="D88">
        <v>0</v>
      </c>
      <c r="E88">
        <v>0</v>
      </c>
    </row>
    <row r="89" spans="1:5">
      <c r="A89" t="str">
        <f xml:space="preserve"> "2.03.04.01"</f>
        <v>2.03.04.01</v>
      </c>
      <c r="B89" t="s">
        <v>108</v>
      </c>
      <c r="C89">
        <v>0</v>
      </c>
      <c r="D89">
        <v>0</v>
      </c>
      <c r="E89">
        <v>0</v>
      </c>
    </row>
    <row r="90" spans="1:5">
      <c r="A90" t="str">
        <f xml:space="preserve"> "2.03.04.02"</f>
        <v>2.03.04.02</v>
      </c>
      <c r="B90" t="s">
        <v>109</v>
      </c>
      <c r="C90">
        <v>0</v>
      </c>
      <c r="D90">
        <v>0</v>
      </c>
      <c r="E90">
        <v>0</v>
      </c>
    </row>
    <row r="91" spans="1:5">
      <c r="A91" t="str">
        <f xml:space="preserve"> "2.03.04.03"</f>
        <v>2.03.04.03</v>
      </c>
      <c r="B91" t="s">
        <v>110</v>
      </c>
      <c r="C91">
        <v>0</v>
      </c>
      <c r="D91">
        <v>0</v>
      </c>
      <c r="E91">
        <v>0</v>
      </c>
    </row>
    <row r="92" spans="1:5">
      <c r="A92" t="str">
        <f xml:space="preserve"> "2.03.04.04"</f>
        <v>2.03.04.04</v>
      </c>
      <c r="B92" t="s">
        <v>111</v>
      </c>
      <c r="C92">
        <v>0</v>
      </c>
      <c r="D92">
        <v>0</v>
      </c>
      <c r="E92">
        <v>0</v>
      </c>
    </row>
    <row r="93" spans="1:5">
      <c r="A93" t="str">
        <f xml:space="preserve"> "2.03.04.05"</f>
        <v>2.03.04.05</v>
      </c>
      <c r="B93" t="s">
        <v>112</v>
      </c>
      <c r="C93">
        <v>0</v>
      </c>
      <c r="D93">
        <v>0</v>
      </c>
      <c r="E93">
        <v>0</v>
      </c>
    </row>
    <row r="94" spans="1:5">
      <c r="A94" t="str">
        <f xml:space="preserve"> "2.03.04.06"</f>
        <v>2.03.04.06</v>
      </c>
      <c r="B94" t="s">
        <v>113</v>
      </c>
      <c r="C94">
        <v>0</v>
      </c>
      <c r="D94">
        <v>0</v>
      </c>
      <c r="E94">
        <v>0</v>
      </c>
    </row>
    <row r="95" spans="1:5">
      <c r="A95" t="str">
        <f xml:space="preserve"> "2.03.04.07"</f>
        <v>2.03.04.07</v>
      </c>
      <c r="B95" t="s">
        <v>114</v>
      </c>
      <c r="C95">
        <v>0</v>
      </c>
      <c r="D95">
        <v>0</v>
      </c>
      <c r="E95">
        <v>0</v>
      </c>
    </row>
    <row r="96" spans="1:5">
      <c r="A96" t="str">
        <f xml:space="preserve"> "2.03.04.08"</f>
        <v>2.03.04.08</v>
      </c>
      <c r="B96" t="s">
        <v>115</v>
      </c>
      <c r="C96">
        <v>0</v>
      </c>
      <c r="D96">
        <v>0</v>
      </c>
      <c r="E96">
        <v>0</v>
      </c>
    </row>
    <row r="97" spans="1:5">
      <c r="A97" t="str">
        <f xml:space="preserve"> "2.03.04.09"</f>
        <v>2.03.04.09</v>
      </c>
      <c r="B97" t="s">
        <v>105</v>
      </c>
      <c r="C97">
        <v>0</v>
      </c>
      <c r="D97">
        <v>0</v>
      </c>
      <c r="E97">
        <v>0</v>
      </c>
    </row>
    <row r="98" spans="1:5">
      <c r="A98" t="str">
        <f xml:space="preserve"> "2.03.05"</f>
        <v>2.03.05</v>
      </c>
      <c r="B98" t="s">
        <v>116</v>
      </c>
      <c r="C98">
        <v>0</v>
      </c>
      <c r="D98">
        <v>0</v>
      </c>
      <c r="E98">
        <v>0</v>
      </c>
    </row>
    <row r="99" spans="1:5">
      <c r="A99" t="str">
        <f xml:space="preserve"> "2.03.06"</f>
        <v>2.03.06</v>
      </c>
      <c r="B99" t="s">
        <v>117</v>
      </c>
      <c r="C99">
        <v>0</v>
      </c>
      <c r="D99">
        <v>0</v>
      </c>
      <c r="E99">
        <v>0</v>
      </c>
    </row>
    <row r="100" spans="1:5">
      <c r="A100" t="str">
        <f xml:space="preserve"> "2.03.07"</f>
        <v>2.03.07</v>
      </c>
      <c r="B100" t="s">
        <v>118</v>
      </c>
      <c r="C100">
        <v>0</v>
      </c>
      <c r="D100">
        <v>0</v>
      </c>
      <c r="E100">
        <v>0</v>
      </c>
    </row>
    <row r="101" spans="1:5">
      <c r="A101" t="str">
        <f xml:space="preserve"> "2.03.08"</f>
        <v>2.03.08</v>
      </c>
      <c r="B101" t="s">
        <v>119</v>
      </c>
      <c r="C101">
        <v>0</v>
      </c>
      <c r="D101">
        <v>0</v>
      </c>
      <c r="E101">
        <v>0</v>
      </c>
    </row>
    <row r="102" spans="1:5">
      <c r="A102" t="str">
        <f xml:space="preserve"> "2.03.09"</f>
        <v>2.03.09</v>
      </c>
      <c r="B102" t="s">
        <v>219</v>
      </c>
      <c r="C102">
        <v>0</v>
      </c>
      <c r="D102">
        <v>0</v>
      </c>
      <c r="E102">
        <v>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FormatPr defaultRowHeight="15"/>
  <cols>
    <col min="1" max="1" width="15.42578125" bestFit="1" customWidth="1"/>
    <col min="2" max="2" width="62.14062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120</v>
      </c>
      <c r="D2" t="s">
        <v>121</v>
      </c>
      <c r="E2" t="s">
        <v>122</v>
      </c>
    </row>
    <row r="3" spans="1:5">
      <c r="A3" t="str">
        <f xml:space="preserve"> "3.01"</f>
        <v>3.01</v>
      </c>
      <c r="B3" t="s">
        <v>123</v>
      </c>
      <c r="C3">
        <v>1</v>
      </c>
      <c r="D3">
        <v>0</v>
      </c>
      <c r="E3">
        <v>0</v>
      </c>
    </row>
    <row r="4" spans="1:5">
      <c r="A4" t="str">
        <f xml:space="preserve"> "3.02"</f>
        <v>3.02</v>
      </c>
      <c r="B4" t="s">
        <v>124</v>
      </c>
      <c r="C4">
        <v>0</v>
      </c>
      <c r="D4">
        <v>0</v>
      </c>
      <c r="E4">
        <v>0</v>
      </c>
    </row>
    <row r="5" spans="1:5">
      <c r="A5" t="str">
        <f xml:space="preserve"> "3.03"</f>
        <v>3.03</v>
      </c>
      <c r="B5" t="s">
        <v>125</v>
      </c>
      <c r="C5">
        <v>0</v>
      </c>
      <c r="D5">
        <v>0</v>
      </c>
      <c r="E5">
        <v>0</v>
      </c>
    </row>
    <row r="6" spans="1:5">
      <c r="A6" t="str">
        <f xml:space="preserve"> "3.04"</f>
        <v>3.04</v>
      </c>
      <c r="B6" t="s">
        <v>126</v>
      </c>
      <c r="C6">
        <v>0</v>
      </c>
      <c r="D6">
        <v>0</v>
      </c>
      <c r="E6">
        <v>0</v>
      </c>
    </row>
    <row r="7" spans="1:5">
      <c r="A7" t="str">
        <f xml:space="preserve"> "3.04.01"</f>
        <v>3.04.01</v>
      </c>
      <c r="B7" t="s">
        <v>127</v>
      </c>
      <c r="C7">
        <v>0</v>
      </c>
      <c r="D7">
        <v>0</v>
      </c>
      <c r="E7">
        <v>0</v>
      </c>
    </row>
    <row r="8" spans="1:5">
      <c r="A8" t="str">
        <f xml:space="preserve"> "3.04.02"</f>
        <v>3.04.02</v>
      </c>
      <c r="B8" t="s">
        <v>128</v>
      </c>
      <c r="C8">
        <v>0</v>
      </c>
      <c r="D8">
        <v>0</v>
      </c>
      <c r="E8">
        <v>0</v>
      </c>
    </row>
    <row r="9" spans="1:5">
      <c r="A9" t="str">
        <f xml:space="preserve"> "3.04.03"</f>
        <v>3.04.03</v>
      </c>
      <c r="B9" t="s">
        <v>129</v>
      </c>
      <c r="C9">
        <v>0</v>
      </c>
      <c r="D9">
        <v>0</v>
      </c>
      <c r="E9">
        <v>0</v>
      </c>
    </row>
    <row r="10" spans="1:5">
      <c r="A10" t="str">
        <f xml:space="preserve"> "3.04.04"</f>
        <v>3.04.04</v>
      </c>
      <c r="B10" t="s">
        <v>130</v>
      </c>
      <c r="C10">
        <v>0</v>
      </c>
      <c r="D10">
        <v>0</v>
      </c>
      <c r="E10">
        <v>0</v>
      </c>
    </row>
    <row r="11" spans="1:5">
      <c r="A11" t="str">
        <f xml:space="preserve"> "3.04.05"</f>
        <v>3.04.05</v>
      </c>
      <c r="B11" t="s">
        <v>131</v>
      </c>
      <c r="C11">
        <v>0</v>
      </c>
      <c r="D11">
        <v>0</v>
      </c>
      <c r="E11">
        <v>0</v>
      </c>
    </row>
    <row r="12" spans="1:5">
      <c r="A12" t="str">
        <f xml:space="preserve"> "3.04.06"</f>
        <v>3.04.06</v>
      </c>
      <c r="B12" t="s">
        <v>132</v>
      </c>
      <c r="C12">
        <v>0</v>
      </c>
      <c r="D12">
        <v>0</v>
      </c>
      <c r="E12">
        <v>0</v>
      </c>
    </row>
    <row r="13" spans="1:5">
      <c r="A13" t="str">
        <f xml:space="preserve"> "3.05"</f>
        <v>3.05</v>
      </c>
      <c r="B13" t="s">
        <v>133</v>
      </c>
      <c r="C13">
        <v>0</v>
      </c>
      <c r="D13">
        <v>0</v>
      </c>
      <c r="E13">
        <v>0</v>
      </c>
    </row>
    <row r="14" spans="1:5">
      <c r="A14" t="str">
        <f xml:space="preserve"> "3.06"</f>
        <v>3.06</v>
      </c>
      <c r="B14" t="s">
        <v>134</v>
      </c>
      <c r="C14">
        <v>0</v>
      </c>
      <c r="D14">
        <v>0</v>
      </c>
      <c r="E14">
        <v>0</v>
      </c>
    </row>
    <row r="15" spans="1:5">
      <c r="A15" t="str">
        <f xml:space="preserve"> "3.06.01"</f>
        <v>3.06.01</v>
      </c>
      <c r="B15" t="s">
        <v>135</v>
      </c>
      <c r="C15">
        <v>0</v>
      </c>
      <c r="D15">
        <v>0</v>
      </c>
      <c r="E15">
        <v>0</v>
      </c>
    </row>
    <row r="16" spans="1:5">
      <c r="A16" t="str">
        <f xml:space="preserve"> "3.06.02"</f>
        <v>3.06.02</v>
      </c>
      <c r="B16" t="s">
        <v>136</v>
      </c>
      <c r="C16">
        <v>0</v>
      </c>
      <c r="D16">
        <v>0</v>
      </c>
      <c r="E16">
        <v>0</v>
      </c>
    </row>
    <row r="17" spans="1:5">
      <c r="A17" t="str">
        <f xml:space="preserve"> "3.07"</f>
        <v>3.07</v>
      </c>
      <c r="B17" t="s">
        <v>137</v>
      </c>
      <c r="C17">
        <v>0</v>
      </c>
      <c r="D17">
        <v>0</v>
      </c>
      <c r="E17">
        <v>0</v>
      </c>
    </row>
    <row r="18" spans="1:5">
      <c r="A18" t="str">
        <f xml:space="preserve"> "3.08"</f>
        <v>3.08</v>
      </c>
      <c r="B18" t="s">
        <v>138</v>
      </c>
      <c r="C18">
        <v>0</v>
      </c>
      <c r="D18">
        <v>0</v>
      </c>
      <c r="E18">
        <v>0</v>
      </c>
    </row>
    <row r="19" spans="1:5">
      <c r="A19" t="str">
        <f xml:space="preserve"> "3.08.01"</f>
        <v>3.08.01</v>
      </c>
      <c r="B19" t="s">
        <v>139</v>
      </c>
      <c r="C19">
        <v>0</v>
      </c>
      <c r="D19">
        <v>0</v>
      </c>
      <c r="E19">
        <v>0</v>
      </c>
    </row>
    <row r="20" spans="1:5">
      <c r="A20" t="str">
        <f xml:space="preserve"> "3.08.02"</f>
        <v>3.08.02</v>
      </c>
      <c r="B20" t="s">
        <v>51</v>
      </c>
      <c r="C20">
        <v>0</v>
      </c>
      <c r="D20">
        <v>0</v>
      </c>
      <c r="E20">
        <v>0</v>
      </c>
    </row>
    <row r="21" spans="1:5">
      <c r="A21" t="str">
        <f xml:space="preserve"> "3.09"</f>
        <v>3.09</v>
      </c>
      <c r="B21" t="s">
        <v>140</v>
      </c>
      <c r="C21">
        <v>0</v>
      </c>
      <c r="D21">
        <v>0</v>
      </c>
      <c r="E21">
        <v>0</v>
      </c>
    </row>
    <row r="22" spans="1:5">
      <c r="A22" t="str">
        <f xml:space="preserve"> "3.10"</f>
        <v>3.10</v>
      </c>
      <c r="B22" t="s">
        <v>141</v>
      </c>
      <c r="C22">
        <v>0</v>
      </c>
      <c r="D22">
        <v>0</v>
      </c>
      <c r="E22">
        <v>0</v>
      </c>
    </row>
    <row r="23" spans="1:5">
      <c r="A23" t="str">
        <f xml:space="preserve"> "3.10.01"</f>
        <v>3.10.01</v>
      </c>
      <c r="B23" t="s">
        <v>142</v>
      </c>
      <c r="C23">
        <v>0</v>
      </c>
      <c r="D23">
        <v>0</v>
      </c>
      <c r="E23">
        <v>0</v>
      </c>
    </row>
    <row r="24" spans="1:5">
      <c r="A24" t="str">
        <f xml:space="preserve"> "3.10.02"</f>
        <v>3.10.02</v>
      </c>
      <c r="B24" t="s">
        <v>143</v>
      </c>
      <c r="C24">
        <v>0</v>
      </c>
      <c r="D24">
        <v>0</v>
      </c>
      <c r="E24">
        <v>0</v>
      </c>
    </row>
    <row r="25" spans="1:5">
      <c r="A25" t="str">
        <f xml:space="preserve"> "3.11"</f>
        <v>3.11</v>
      </c>
      <c r="B25" t="s">
        <v>220</v>
      </c>
      <c r="C25">
        <v>0</v>
      </c>
      <c r="D25">
        <v>0</v>
      </c>
      <c r="E25">
        <v>0</v>
      </c>
    </row>
    <row r="26" spans="1:5">
      <c r="A26" t="str">
        <f xml:space="preserve"> "3.11.01"</f>
        <v>3.11.01</v>
      </c>
      <c r="B26" t="s">
        <v>221</v>
      </c>
      <c r="C26">
        <v>0</v>
      </c>
      <c r="D26">
        <v>0</v>
      </c>
      <c r="E26">
        <v>0</v>
      </c>
    </row>
    <row r="27" spans="1:5">
      <c r="A27" t="str">
        <f xml:space="preserve"> "3.11.02"</f>
        <v>3.11.02</v>
      </c>
      <c r="B27" t="s">
        <v>222</v>
      </c>
      <c r="C27">
        <v>0</v>
      </c>
      <c r="D27">
        <v>0</v>
      </c>
      <c r="E27">
        <v>0</v>
      </c>
    </row>
    <row r="28" spans="1:5">
      <c r="A28" t="str">
        <f xml:space="preserve"> "3.99"</f>
        <v>3.99</v>
      </c>
      <c r="B28" t="s">
        <v>145</v>
      </c>
      <c r="C28">
        <v>0</v>
      </c>
      <c r="D28">
        <v>0</v>
      </c>
      <c r="E28">
        <v>0</v>
      </c>
    </row>
    <row r="29" spans="1:5">
      <c r="A29" t="str">
        <f xml:space="preserve"> "3.99.01"</f>
        <v>3.99.01</v>
      </c>
      <c r="B29" t="s">
        <v>146</v>
      </c>
      <c r="C29">
        <v>0</v>
      </c>
      <c r="D29">
        <v>0</v>
      </c>
      <c r="E29">
        <v>0</v>
      </c>
    </row>
    <row r="30" spans="1:5">
      <c r="A30" t="str">
        <f xml:space="preserve"> "3.99.02"</f>
        <v>3.99.02</v>
      </c>
      <c r="B30" t="s">
        <v>147</v>
      </c>
      <c r="C30">
        <v>0</v>
      </c>
      <c r="D30">
        <v>0</v>
      </c>
      <c r="E30">
        <v>0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5.42578125" bestFit="1" customWidth="1"/>
    <col min="2" max="2" width="43.2851562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120</v>
      </c>
      <c r="D2" t="s">
        <v>121</v>
      </c>
      <c r="E2" t="s">
        <v>122</v>
      </c>
    </row>
    <row r="3" spans="1:5">
      <c r="A3" t="str">
        <f xml:space="preserve"> "4.01"</f>
        <v>4.01</v>
      </c>
      <c r="B3" t="s">
        <v>223</v>
      </c>
      <c r="C3">
        <v>1</v>
      </c>
      <c r="D3">
        <v>0</v>
      </c>
      <c r="E3">
        <v>0</v>
      </c>
    </row>
    <row r="4" spans="1:5">
      <c r="A4" t="str">
        <f xml:space="preserve"> "4.02"</f>
        <v>4.02</v>
      </c>
      <c r="B4" t="s">
        <v>119</v>
      </c>
      <c r="C4">
        <v>0</v>
      </c>
      <c r="D4">
        <v>0</v>
      </c>
      <c r="E4">
        <v>0</v>
      </c>
    </row>
    <row r="5" spans="1:5">
      <c r="A5" t="str">
        <f xml:space="preserve"> "4.03"</f>
        <v>4.03</v>
      </c>
      <c r="B5" t="s">
        <v>224</v>
      </c>
      <c r="C5">
        <v>0</v>
      </c>
      <c r="D5">
        <v>0</v>
      </c>
      <c r="E5">
        <v>0</v>
      </c>
    </row>
    <row r="6" spans="1:5">
      <c r="A6" t="str">
        <f xml:space="preserve"> "4.03.01"</f>
        <v>4.03.01</v>
      </c>
      <c r="B6" t="s">
        <v>221</v>
      </c>
      <c r="C6">
        <v>0</v>
      </c>
      <c r="D6">
        <v>0</v>
      </c>
      <c r="E6">
        <v>0</v>
      </c>
    </row>
    <row r="7" spans="1:5">
      <c r="A7" t="str">
        <f xml:space="preserve"> "4.03.02"</f>
        <v>4.03.02</v>
      </c>
      <c r="B7" t="s">
        <v>222</v>
      </c>
      <c r="C7">
        <v>0</v>
      </c>
      <c r="D7">
        <v>0</v>
      </c>
      <c r="E7">
        <v>0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cols>
    <col min="1" max="1" width="15.42578125" bestFit="1" customWidth="1"/>
    <col min="2" max="2" width="41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120</v>
      </c>
      <c r="D2" t="s">
        <v>121</v>
      </c>
      <c r="E2" t="s">
        <v>122</v>
      </c>
    </row>
    <row r="3" spans="1:5">
      <c r="A3" t="str">
        <f xml:space="preserve"> "6.01"</f>
        <v>6.01</v>
      </c>
      <c r="B3" t="s">
        <v>150</v>
      </c>
      <c r="C3">
        <v>1</v>
      </c>
      <c r="D3">
        <v>0</v>
      </c>
      <c r="E3">
        <v>0</v>
      </c>
    </row>
    <row r="4" spans="1:5">
      <c r="A4" t="str">
        <f xml:space="preserve"> "6.01.01"</f>
        <v>6.01.01</v>
      </c>
      <c r="B4" t="s">
        <v>151</v>
      </c>
      <c r="C4">
        <v>0</v>
      </c>
      <c r="D4">
        <v>0</v>
      </c>
      <c r="E4">
        <v>0</v>
      </c>
    </row>
    <row r="5" spans="1:5">
      <c r="A5" t="str">
        <f xml:space="preserve"> "6.01.02"</f>
        <v>6.01.02</v>
      </c>
      <c r="B5" t="s">
        <v>152</v>
      </c>
      <c r="C5">
        <v>0</v>
      </c>
      <c r="D5">
        <v>0</v>
      </c>
      <c r="E5">
        <v>0</v>
      </c>
    </row>
    <row r="6" spans="1:5">
      <c r="A6" t="str">
        <f xml:space="preserve"> "6.01.03"</f>
        <v>6.01.03</v>
      </c>
      <c r="B6" t="s">
        <v>26</v>
      </c>
      <c r="C6">
        <v>0</v>
      </c>
      <c r="D6">
        <v>0</v>
      </c>
      <c r="E6">
        <v>0</v>
      </c>
    </row>
    <row r="7" spans="1:5">
      <c r="A7" t="str">
        <f xml:space="preserve"> "6.02"</f>
        <v>6.02</v>
      </c>
      <c r="B7" t="s">
        <v>153</v>
      </c>
      <c r="C7">
        <v>0</v>
      </c>
      <c r="D7">
        <v>0</v>
      </c>
      <c r="E7">
        <v>0</v>
      </c>
    </row>
    <row r="8" spans="1:5">
      <c r="A8" t="str">
        <f xml:space="preserve"> "6.03"</f>
        <v>6.03</v>
      </c>
      <c r="B8" t="s">
        <v>154</v>
      </c>
      <c r="C8">
        <v>0</v>
      </c>
      <c r="D8">
        <v>0</v>
      </c>
      <c r="E8">
        <v>0</v>
      </c>
    </row>
    <row r="9" spans="1:5">
      <c r="A9" t="str">
        <f xml:space="preserve"> "6.04"</f>
        <v>6.04</v>
      </c>
      <c r="B9" t="s">
        <v>155</v>
      </c>
      <c r="C9">
        <v>0</v>
      </c>
      <c r="D9">
        <v>0</v>
      </c>
      <c r="E9">
        <v>0</v>
      </c>
    </row>
    <row r="10" spans="1:5">
      <c r="A10" t="str">
        <f xml:space="preserve"> "6.05"</f>
        <v>6.05</v>
      </c>
      <c r="B10" t="s">
        <v>156</v>
      </c>
      <c r="C10">
        <v>0</v>
      </c>
      <c r="D10">
        <v>0</v>
      </c>
      <c r="E10">
        <v>0</v>
      </c>
    </row>
    <row r="11" spans="1:5">
      <c r="A11" t="str">
        <f xml:space="preserve"> "6.05.01"</f>
        <v>6.05.01</v>
      </c>
      <c r="B11" t="s">
        <v>157</v>
      </c>
      <c r="C11">
        <v>0</v>
      </c>
      <c r="D11">
        <v>0</v>
      </c>
      <c r="E11">
        <v>0</v>
      </c>
    </row>
    <row r="12" spans="1:5">
      <c r="A12" t="str">
        <f xml:space="preserve"> "6.05.02"</f>
        <v>6.05.02</v>
      </c>
      <c r="B12" t="s">
        <v>158</v>
      </c>
      <c r="C12">
        <v>0</v>
      </c>
      <c r="D12">
        <v>0</v>
      </c>
      <c r="E12">
        <v>0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cols>
    <col min="1" max="1" width="15.42578125" bestFit="1" customWidth="1"/>
    <col min="2" max="2" width="49.7109375" bestFit="1" customWidth="1"/>
    <col min="3" max="3" width="25.140625" bestFit="1" customWidth="1"/>
    <col min="4" max="4" width="58.140625" bestFit="1" customWidth="1"/>
    <col min="5" max="5" width="16.85546875" bestFit="1" customWidth="1"/>
    <col min="6" max="6" width="29.7109375" bestFit="1" customWidth="1"/>
    <col min="7" max="7" width="29.42578125" bestFit="1" customWidth="1"/>
    <col min="8" max="8" width="18" bestFit="1" customWidth="1"/>
    <col min="9" max="9" width="33" bestFit="1" customWidth="1"/>
    <col min="10" max="10" width="29.85546875" bestFit="1" customWidth="1"/>
  </cols>
  <sheetData>
    <row r="1" spans="1:10">
      <c r="A1" t="s">
        <v>0</v>
      </c>
    </row>
    <row r="2" spans="1:10">
      <c r="A2" t="s">
        <v>1</v>
      </c>
      <c r="B2" t="s">
        <v>2</v>
      </c>
      <c r="C2" t="s">
        <v>159</v>
      </c>
      <c r="D2" t="s">
        <v>160</v>
      </c>
      <c r="E2" t="s">
        <v>161</v>
      </c>
      <c r="F2" t="s">
        <v>162</v>
      </c>
      <c r="G2" t="s">
        <v>119</v>
      </c>
      <c r="H2" t="s">
        <v>98</v>
      </c>
      <c r="I2" t="s">
        <v>225</v>
      </c>
      <c r="J2" t="s">
        <v>218</v>
      </c>
    </row>
    <row r="3" spans="1:10">
      <c r="A3" t="str">
        <f xml:space="preserve"> "5.01"</f>
        <v>5.01</v>
      </c>
      <c r="B3" t="s">
        <v>163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tr">
        <f xml:space="preserve"> "5.02"</f>
        <v>5.02</v>
      </c>
      <c r="B4" t="s">
        <v>164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tr">
        <f xml:space="preserve"> "5.03"</f>
        <v>5.03</v>
      </c>
      <c r="B5" t="s">
        <v>165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tr">
        <f xml:space="preserve"> "5.04"</f>
        <v>5.04</v>
      </c>
      <c r="B6" t="s">
        <v>166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t="str">
        <f xml:space="preserve"> "5.04.01"</f>
        <v>5.04.01</v>
      </c>
      <c r="B7" t="s">
        <v>167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tr">
        <f xml:space="preserve"> "5.04.02"</f>
        <v>5.04.02</v>
      </c>
      <c r="B8" t="s">
        <v>168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tr">
        <f xml:space="preserve"> "5.04.03"</f>
        <v>5.04.03</v>
      </c>
      <c r="B9" t="s">
        <v>169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tr">
        <f xml:space="preserve"> "5.04.04"</f>
        <v>5.04.04</v>
      </c>
      <c r="B10" t="s">
        <v>170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tr">
        <f xml:space="preserve"> "5.04.05"</f>
        <v>5.04.05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t="str">
        <f xml:space="preserve"> "5.04.06"</f>
        <v>5.04.06</v>
      </c>
      <c r="B12" t="s">
        <v>172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t="str">
        <f xml:space="preserve"> "5.04.07"</f>
        <v>5.04.07</v>
      </c>
      <c r="B13" t="s">
        <v>173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 t="str">
        <f xml:space="preserve"> "5.05"</f>
        <v>5.05</v>
      </c>
      <c r="B14" t="s">
        <v>174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 t="str">
        <f xml:space="preserve"> "5.05.01"</f>
        <v>5.05.01</v>
      </c>
      <c r="B15" t="s">
        <v>148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 t="str">
        <f xml:space="preserve"> "5.05.02"</f>
        <v>5.05.02</v>
      </c>
      <c r="B16" t="s">
        <v>119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 t="str">
        <f xml:space="preserve"> "5.05.02.01"</f>
        <v>5.05.02.01</v>
      </c>
      <c r="B17" t="s">
        <v>175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 t="str">
        <f xml:space="preserve"> "5.05.02.02"</f>
        <v>5.05.02.02</v>
      </c>
      <c r="B18" t="s">
        <v>176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 t="str">
        <f xml:space="preserve"> "5.05.02.03"</f>
        <v>5.05.02.03</v>
      </c>
      <c r="B19" t="s">
        <v>226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 t="str">
        <f xml:space="preserve"> "5.05.02.04"</f>
        <v>5.05.02.04</v>
      </c>
      <c r="B20" t="s">
        <v>178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 t="str">
        <f xml:space="preserve"> "5.05.02.05"</f>
        <v>5.05.02.05</v>
      </c>
      <c r="B21" t="s">
        <v>179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 t="str">
        <f xml:space="preserve"> "5.05.03"</f>
        <v>5.05.03</v>
      </c>
      <c r="B22" t="s">
        <v>180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 t="str">
        <f xml:space="preserve"> "5.05.03.01"</f>
        <v>5.05.03.01</v>
      </c>
      <c r="B23" t="s">
        <v>175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 t="str">
        <f xml:space="preserve"> "5.06"</f>
        <v>5.06</v>
      </c>
      <c r="B24" t="s">
        <v>181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 t="str">
        <f xml:space="preserve"> "5.06.01"</f>
        <v>5.06.01</v>
      </c>
      <c r="B25" t="s">
        <v>182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tr">
        <f xml:space="preserve"> "5.06.02"</f>
        <v>5.06.02</v>
      </c>
      <c r="B26" t="s">
        <v>183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tr">
        <f xml:space="preserve"> "5.06.03"</f>
        <v>5.06.03</v>
      </c>
      <c r="B27" t="s">
        <v>184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tr">
        <f xml:space="preserve"> "5.07"</f>
        <v>5.07</v>
      </c>
      <c r="B28" t="s">
        <v>185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cols>
    <col min="1" max="1" width="15.42578125" bestFit="1" customWidth="1"/>
    <col min="2" max="2" width="45.85546875" bestFit="1" customWidth="1"/>
    <col min="3" max="3" width="37.7109375" bestFit="1" customWidth="1"/>
    <col min="4" max="4" width="41.140625" bestFit="1" customWidth="1"/>
    <col min="5" max="5" width="45.5703125" bestFit="1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120</v>
      </c>
      <c r="D2" t="s">
        <v>121</v>
      </c>
      <c r="E2" t="s">
        <v>122</v>
      </c>
    </row>
    <row r="3" spans="1:5">
      <c r="A3" t="str">
        <f xml:space="preserve"> "7.01"</f>
        <v>7.01</v>
      </c>
      <c r="B3" t="s">
        <v>186</v>
      </c>
      <c r="C3">
        <v>1</v>
      </c>
      <c r="D3">
        <v>0</v>
      </c>
      <c r="E3">
        <v>0</v>
      </c>
    </row>
    <row r="4" spans="1:5">
      <c r="A4" t="str">
        <f xml:space="preserve"> "7.01.01"</f>
        <v>7.01.01</v>
      </c>
      <c r="B4" t="s">
        <v>187</v>
      </c>
      <c r="C4">
        <v>0</v>
      </c>
      <c r="D4">
        <v>0</v>
      </c>
      <c r="E4">
        <v>0</v>
      </c>
    </row>
    <row r="5" spans="1:5">
      <c r="A5" t="str">
        <f xml:space="preserve"> "7.01.02"</f>
        <v>7.01.02</v>
      </c>
      <c r="B5" t="s">
        <v>188</v>
      </c>
      <c r="C5">
        <v>0</v>
      </c>
      <c r="D5">
        <v>0</v>
      </c>
      <c r="E5">
        <v>0</v>
      </c>
    </row>
    <row r="6" spans="1:5">
      <c r="A6" t="str">
        <f xml:space="preserve"> "7.01.03"</f>
        <v>7.01.03</v>
      </c>
      <c r="B6" t="s">
        <v>189</v>
      </c>
      <c r="C6">
        <v>0</v>
      </c>
      <c r="D6">
        <v>0</v>
      </c>
      <c r="E6">
        <v>0</v>
      </c>
    </row>
    <row r="7" spans="1:5">
      <c r="A7" t="str">
        <f xml:space="preserve"> "7.01.04"</f>
        <v>7.01.04</v>
      </c>
      <c r="B7" t="s">
        <v>190</v>
      </c>
      <c r="C7">
        <v>0</v>
      </c>
      <c r="D7">
        <v>0</v>
      </c>
      <c r="E7">
        <v>0</v>
      </c>
    </row>
    <row r="8" spans="1:5">
      <c r="A8" t="str">
        <f xml:space="preserve"> "7.02"</f>
        <v>7.02</v>
      </c>
      <c r="B8" t="s">
        <v>191</v>
      </c>
      <c r="C8">
        <v>0</v>
      </c>
      <c r="D8">
        <v>0</v>
      </c>
      <c r="E8">
        <v>0</v>
      </c>
    </row>
    <row r="9" spans="1:5">
      <c r="A9" t="str">
        <f xml:space="preserve"> "7.02.01"</f>
        <v>7.02.01</v>
      </c>
      <c r="B9" t="s">
        <v>192</v>
      </c>
      <c r="C9">
        <v>0</v>
      </c>
      <c r="D9">
        <v>0</v>
      </c>
      <c r="E9">
        <v>0</v>
      </c>
    </row>
    <row r="10" spans="1:5">
      <c r="A10" t="str">
        <f xml:space="preserve"> "7.02.02"</f>
        <v>7.02.02</v>
      </c>
      <c r="B10" t="s">
        <v>193</v>
      </c>
      <c r="C10">
        <v>0</v>
      </c>
      <c r="D10">
        <v>0</v>
      </c>
      <c r="E10">
        <v>0</v>
      </c>
    </row>
    <row r="11" spans="1:5">
      <c r="A11" t="str">
        <f xml:space="preserve"> "7.02.03"</f>
        <v>7.02.03</v>
      </c>
      <c r="B11" t="s">
        <v>194</v>
      </c>
      <c r="C11">
        <v>0</v>
      </c>
      <c r="D11">
        <v>0</v>
      </c>
      <c r="E11">
        <v>0</v>
      </c>
    </row>
    <row r="12" spans="1:5">
      <c r="A12" t="str">
        <f xml:space="preserve"> "7.02.04"</f>
        <v>7.02.04</v>
      </c>
      <c r="B12" t="s">
        <v>26</v>
      </c>
      <c r="C12">
        <v>0</v>
      </c>
      <c r="D12">
        <v>0</v>
      </c>
      <c r="E12">
        <v>0</v>
      </c>
    </row>
    <row r="13" spans="1:5">
      <c r="A13" t="str">
        <f xml:space="preserve"> "7.03"</f>
        <v>7.03</v>
      </c>
      <c r="B13" t="s">
        <v>195</v>
      </c>
      <c r="C13">
        <v>0</v>
      </c>
      <c r="D13">
        <v>0</v>
      </c>
      <c r="E13">
        <v>0</v>
      </c>
    </row>
    <row r="14" spans="1:5">
      <c r="A14" t="str">
        <f xml:space="preserve"> "7.04"</f>
        <v>7.04</v>
      </c>
      <c r="B14" t="s">
        <v>196</v>
      </c>
      <c r="C14">
        <v>0</v>
      </c>
      <c r="D14">
        <v>0</v>
      </c>
      <c r="E14">
        <v>0</v>
      </c>
    </row>
    <row r="15" spans="1:5">
      <c r="A15" t="str">
        <f xml:space="preserve"> "7.04.01"</f>
        <v>7.04.01</v>
      </c>
      <c r="B15" t="s">
        <v>197</v>
      </c>
      <c r="C15">
        <v>0</v>
      </c>
      <c r="D15">
        <v>0</v>
      </c>
      <c r="E15">
        <v>0</v>
      </c>
    </row>
    <row r="16" spans="1:5">
      <c r="A16" t="str">
        <f xml:space="preserve"> "7.04.02"</f>
        <v>7.04.02</v>
      </c>
      <c r="B16" t="s">
        <v>198</v>
      </c>
      <c r="C16">
        <v>0</v>
      </c>
      <c r="D16">
        <v>0</v>
      </c>
      <c r="E16">
        <v>0</v>
      </c>
    </row>
    <row r="17" spans="1:5">
      <c r="A17" t="str">
        <f xml:space="preserve"> "7.05"</f>
        <v>7.05</v>
      </c>
      <c r="B17" t="s">
        <v>199</v>
      </c>
      <c r="C17">
        <v>0</v>
      </c>
      <c r="D17">
        <v>0</v>
      </c>
      <c r="E17">
        <v>0</v>
      </c>
    </row>
    <row r="18" spans="1:5">
      <c r="A18" t="str">
        <f xml:space="preserve"> "7.06"</f>
        <v>7.06</v>
      </c>
      <c r="B18" t="s">
        <v>200</v>
      </c>
      <c r="C18">
        <v>0</v>
      </c>
      <c r="D18">
        <v>0</v>
      </c>
      <c r="E18">
        <v>0</v>
      </c>
    </row>
    <row r="19" spans="1:5">
      <c r="A19" t="str">
        <f xml:space="preserve"> "7.06.01"</f>
        <v>7.06.01</v>
      </c>
      <c r="B19" t="s">
        <v>132</v>
      </c>
      <c r="C19">
        <v>0</v>
      </c>
      <c r="D19">
        <v>0</v>
      </c>
      <c r="E19">
        <v>0</v>
      </c>
    </row>
    <row r="20" spans="1:5">
      <c r="A20" t="str">
        <f xml:space="preserve"> "7.06.02"</f>
        <v>7.06.02</v>
      </c>
      <c r="B20" t="s">
        <v>135</v>
      </c>
      <c r="C20">
        <v>0</v>
      </c>
      <c r="D20">
        <v>0</v>
      </c>
      <c r="E20">
        <v>0</v>
      </c>
    </row>
    <row r="21" spans="1:5">
      <c r="A21" t="str">
        <f xml:space="preserve"> "7.06.03"</f>
        <v>7.06.03</v>
      </c>
      <c r="B21" t="s">
        <v>26</v>
      </c>
      <c r="C21">
        <v>0</v>
      </c>
      <c r="D21">
        <v>0</v>
      </c>
      <c r="E21">
        <v>0</v>
      </c>
    </row>
    <row r="22" spans="1:5">
      <c r="A22" t="str">
        <f xml:space="preserve"> "7.07"</f>
        <v>7.07</v>
      </c>
      <c r="B22" t="s">
        <v>201</v>
      </c>
      <c r="C22">
        <v>0</v>
      </c>
      <c r="D22">
        <v>0</v>
      </c>
      <c r="E22">
        <v>0</v>
      </c>
    </row>
    <row r="23" spans="1:5">
      <c r="A23" t="str">
        <f xml:space="preserve"> "7.08"</f>
        <v>7.08</v>
      </c>
      <c r="B23" t="s">
        <v>202</v>
      </c>
      <c r="C23">
        <v>0</v>
      </c>
      <c r="D23">
        <v>0</v>
      </c>
      <c r="E23">
        <v>0</v>
      </c>
    </row>
    <row r="24" spans="1:5">
      <c r="A24" t="str">
        <f xml:space="preserve"> "7.08.01"</f>
        <v>7.08.01</v>
      </c>
      <c r="B24" t="s">
        <v>203</v>
      </c>
      <c r="C24">
        <v>0</v>
      </c>
      <c r="D24">
        <v>0</v>
      </c>
      <c r="E24">
        <v>0</v>
      </c>
    </row>
    <row r="25" spans="1:5">
      <c r="A25" t="str">
        <f xml:space="preserve"> "7.08.01.01"</f>
        <v>7.08.01.01</v>
      </c>
      <c r="B25" t="s">
        <v>204</v>
      </c>
      <c r="C25">
        <v>0</v>
      </c>
      <c r="D25">
        <v>0</v>
      </c>
      <c r="E25">
        <v>0</v>
      </c>
    </row>
    <row r="26" spans="1:5">
      <c r="A26" t="str">
        <f xml:space="preserve"> "7.08.01.02"</f>
        <v>7.08.01.02</v>
      </c>
      <c r="B26" t="s">
        <v>205</v>
      </c>
      <c r="C26">
        <v>0</v>
      </c>
      <c r="D26">
        <v>0</v>
      </c>
      <c r="E26">
        <v>0</v>
      </c>
    </row>
    <row r="27" spans="1:5">
      <c r="A27" t="str">
        <f xml:space="preserve"> "7.08.01.03"</f>
        <v>7.08.01.03</v>
      </c>
      <c r="B27" t="s">
        <v>206</v>
      </c>
      <c r="C27">
        <v>0</v>
      </c>
      <c r="D27">
        <v>0</v>
      </c>
      <c r="E27">
        <v>0</v>
      </c>
    </row>
    <row r="28" spans="1:5">
      <c r="A28" t="str">
        <f xml:space="preserve"> "7.08.01.04"</f>
        <v>7.08.01.04</v>
      </c>
      <c r="B28" t="s">
        <v>26</v>
      </c>
      <c r="C28">
        <v>0</v>
      </c>
      <c r="D28">
        <v>0</v>
      </c>
      <c r="E28">
        <v>0</v>
      </c>
    </row>
    <row r="29" spans="1:5">
      <c r="A29" t="str">
        <f xml:space="preserve"> "7.08.02"</f>
        <v>7.08.02</v>
      </c>
      <c r="B29" t="s">
        <v>207</v>
      </c>
      <c r="C29">
        <v>0</v>
      </c>
      <c r="D29">
        <v>0</v>
      </c>
      <c r="E29">
        <v>0</v>
      </c>
    </row>
    <row r="30" spans="1:5">
      <c r="A30" t="str">
        <f xml:space="preserve"> "7.08.02.01"</f>
        <v>7.08.02.01</v>
      </c>
      <c r="B30" t="s">
        <v>208</v>
      </c>
      <c r="C30">
        <v>0</v>
      </c>
      <c r="D30">
        <v>0</v>
      </c>
      <c r="E30">
        <v>0</v>
      </c>
    </row>
    <row r="31" spans="1:5">
      <c r="A31" t="str">
        <f xml:space="preserve"> "7.08.02.02"</f>
        <v>7.08.02.02</v>
      </c>
      <c r="B31" t="s">
        <v>209</v>
      </c>
      <c r="C31">
        <v>0</v>
      </c>
      <c r="D31">
        <v>0</v>
      </c>
      <c r="E31">
        <v>0</v>
      </c>
    </row>
    <row r="32" spans="1:5">
      <c r="A32" t="str">
        <f xml:space="preserve"> "7.08.02.03"</f>
        <v>7.08.02.03</v>
      </c>
      <c r="B32" t="s">
        <v>210</v>
      </c>
      <c r="C32">
        <v>0</v>
      </c>
      <c r="D32">
        <v>0</v>
      </c>
      <c r="E32">
        <v>0</v>
      </c>
    </row>
    <row r="33" spans="1:5">
      <c r="A33" t="str">
        <f xml:space="preserve"> "7.08.03"</f>
        <v>7.08.03</v>
      </c>
      <c r="B33" t="s">
        <v>211</v>
      </c>
      <c r="C33">
        <v>0</v>
      </c>
      <c r="D33">
        <v>0</v>
      </c>
      <c r="E33">
        <v>0</v>
      </c>
    </row>
    <row r="34" spans="1:5">
      <c r="A34" t="str">
        <f xml:space="preserve"> "7.08.03.01"</f>
        <v>7.08.03.01</v>
      </c>
      <c r="B34" t="s">
        <v>212</v>
      </c>
      <c r="C34">
        <v>0</v>
      </c>
      <c r="D34">
        <v>0</v>
      </c>
      <c r="E34">
        <v>0</v>
      </c>
    </row>
    <row r="35" spans="1:5">
      <c r="A35" t="str">
        <f xml:space="preserve"> "7.08.03.02"</f>
        <v>7.08.03.02</v>
      </c>
      <c r="B35" t="s">
        <v>213</v>
      </c>
      <c r="C35">
        <v>0</v>
      </c>
      <c r="D35">
        <v>0</v>
      </c>
      <c r="E35">
        <v>0</v>
      </c>
    </row>
    <row r="36" spans="1:5">
      <c r="A36" t="str">
        <f xml:space="preserve"> "7.08.03.03"</f>
        <v>7.08.03.03</v>
      </c>
      <c r="B36" t="s">
        <v>198</v>
      </c>
      <c r="C36">
        <v>0</v>
      </c>
      <c r="D36">
        <v>0</v>
      </c>
      <c r="E36">
        <v>0</v>
      </c>
    </row>
    <row r="37" spans="1:5">
      <c r="A37" t="str">
        <f xml:space="preserve"> "7.08.04"</f>
        <v>7.08.04</v>
      </c>
      <c r="B37" t="s">
        <v>214</v>
      </c>
      <c r="C37">
        <v>0</v>
      </c>
      <c r="D37">
        <v>0</v>
      </c>
      <c r="E37">
        <v>0</v>
      </c>
    </row>
    <row r="38" spans="1:5">
      <c r="A38" t="str">
        <f xml:space="preserve"> "7.08.04.01"</f>
        <v>7.08.04.01</v>
      </c>
      <c r="B38" t="s">
        <v>215</v>
      </c>
      <c r="C38">
        <v>0</v>
      </c>
      <c r="D38">
        <v>0</v>
      </c>
      <c r="E38">
        <v>0</v>
      </c>
    </row>
    <row r="39" spans="1:5">
      <c r="A39" t="str">
        <f xml:space="preserve"> "7.08.04.02"</f>
        <v>7.08.04.02</v>
      </c>
      <c r="B39" t="s">
        <v>172</v>
      </c>
      <c r="C39">
        <v>0</v>
      </c>
      <c r="D39">
        <v>0</v>
      </c>
      <c r="E39">
        <v>0</v>
      </c>
    </row>
    <row r="40" spans="1:5">
      <c r="A40" t="str">
        <f xml:space="preserve"> "7.08.04.03"</f>
        <v>7.08.04.03</v>
      </c>
      <c r="B40" t="s">
        <v>216</v>
      </c>
      <c r="C40">
        <v>0</v>
      </c>
      <c r="D40">
        <v>0</v>
      </c>
      <c r="E40">
        <v>0</v>
      </c>
    </row>
    <row r="41" spans="1:5">
      <c r="A41" t="str">
        <f xml:space="preserve"> "7.08.04.04"</f>
        <v>7.08.04.04</v>
      </c>
      <c r="B41" t="s">
        <v>227</v>
      </c>
      <c r="C41">
        <v>0</v>
      </c>
      <c r="D41">
        <v>0</v>
      </c>
      <c r="E41">
        <v>0</v>
      </c>
    </row>
    <row r="42" spans="1:5">
      <c r="A42" t="str">
        <f xml:space="preserve"> "7.08.05"</f>
        <v>7.08.05</v>
      </c>
      <c r="B42" t="s">
        <v>26</v>
      </c>
      <c r="C42">
        <v>0</v>
      </c>
      <c r="D42">
        <v>0</v>
      </c>
      <c r="E4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DF Ind. - Ativo</vt:lpstr>
      <vt:lpstr>DF Ind. - Passivo</vt:lpstr>
      <vt:lpstr>DF Ind. - Resultado Período</vt:lpstr>
      <vt:lpstr>DF Ind. - Resultado Abrangente</vt:lpstr>
      <vt:lpstr>DF Ind. - Fluxo de Caixa</vt:lpstr>
      <vt:lpstr>DF Ind. - DMPL - 31122016</vt:lpstr>
      <vt:lpstr>DF Ind. - Valor Adicionado</vt:lpstr>
      <vt:lpstr>DF Cons. - Ativo</vt:lpstr>
      <vt:lpstr>DF Cons. - Passivo</vt:lpstr>
      <vt:lpstr>DF Cons. - Resultado Período</vt:lpstr>
      <vt:lpstr>DF Cons. - Resultado Abrangente</vt:lpstr>
      <vt:lpstr>DF Cons. - Fluxo de Caixa</vt:lpstr>
      <vt:lpstr>DF Cons. - DMPL - 31122016</vt:lpstr>
      <vt:lpstr>DF Cons. - Valor Adicionado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Cardoso Moreno</dc:creator>
  <cp:lastModifiedBy>CVM</cp:lastModifiedBy>
  <dcterms:created xsi:type="dcterms:W3CDTF">2017-02-22T15:36:04Z</dcterms:created>
  <dcterms:modified xsi:type="dcterms:W3CDTF">2017-02-24T01:09:12Z</dcterms:modified>
</cp:coreProperties>
</file>